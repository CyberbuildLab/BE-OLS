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5AD4D43A-AF7D-41EC-BB61-41140A3F6705}" xr6:coauthVersionLast="47" xr6:coauthVersionMax="47" xr10:uidLastSave="{00000000-0000-0000-0000-000000000000}"/>
  <bookViews>
    <workbookView xWindow="-120" yWindow="-120" windowWidth="38640" windowHeight="15720" xr2:uid="{C460B36E-D875-4E13-ACEB-9CF2004FB6B5}"/>
  </bookViews>
  <sheets>
    <sheet name="Data" sheetId="1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28" i="14" l="1"/>
  <c r="AB129" i="14"/>
  <c r="AB130" i="14"/>
  <c r="AB131" i="14"/>
  <c r="AC128" i="14"/>
  <c r="AC129" i="14"/>
  <c r="AC130" i="14"/>
  <c r="AC131" i="14"/>
  <c r="AD128" i="14"/>
  <c r="AD129" i="14"/>
  <c r="AD130" i="14"/>
  <c r="AD131" i="14"/>
  <c r="AB127" i="14"/>
  <c r="AC127" i="14"/>
  <c r="AD127" i="14"/>
  <c r="AB28" i="14"/>
  <c r="AC28" i="14"/>
  <c r="AD28" i="14"/>
  <c r="AB120" i="14"/>
  <c r="AC120" i="14"/>
  <c r="AD120" i="14"/>
  <c r="AB25" i="14"/>
  <c r="AC25" i="14"/>
  <c r="AD25" i="14"/>
  <c r="AB22" i="14"/>
  <c r="AC22" i="14"/>
  <c r="AD22" i="14"/>
  <c r="AB77" i="14"/>
  <c r="AC77" i="14"/>
  <c r="AD77" i="14"/>
  <c r="AB78" i="14"/>
  <c r="AC78" i="14"/>
  <c r="AD78" i="14"/>
  <c r="AB111" i="14"/>
  <c r="AC111" i="14"/>
  <c r="AD111" i="14"/>
  <c r="AB112" i="14"/>
  <c r="AC112" i="14"/>
  <c r="AD112" i="14"/>
  <c r="AB60" i="14"/>
  <c r="AC60" i="14"/>
  <c r="AD60" i="14"/>
  <c r="AB80" i="14"/>
  <c r="AC80" i="14"/>
  <c r="AD80" i="14"/>
  <c r="AB123" i="14"/>
  <c r="AC123" i="14"/>
  <c r="AD123" i="14"/>
  <c r="AB59" i="14"/>
  <c r="AC59" i="14"/>
  <c r="AD59" i="14"/>
  <c r="AD11" i="14"/>
  <c r="AC11" i="14"/>
  <c r="AB11" i="14"/>
  <c r="AD2" i="14"/>
  <c r="AC2" i="14"/>
  <c r="AB2" i="14"/>
  <c r="AB69" i="14"/>
  <c r="AC69" i="14"/>
  <c r="AD69" i="14"/>
  <c r="AB41" i="14"/>
  <c r="AC41" i="14"/>
  <c r="AD41" i="14"/>
  <c r="AB30" i="14"/>
  <c r="AC30" i="14"/>
  <c r="AD30" i="14"/>
  <c r="AB40" i="14"/>
  <c r="AC40" i="14"/>
  <c r="AD40" i="14"/>
  <c r="AB26" i="14"/>
  <c r="AC26" i="14"/>
  <c r="AD26" i="14"/>
  <c r="AD4" i="14"/>
  <c r="AC4" i="14"/>
  <c r="AB4" i="14"/>
  <c r="AB94" i="14"/>
  <c r="AB117" i="14"/>
  <c r="AB5" i="14"/>
  <c r="AB61" i="14"/>
  <c r="AB9" i="14"/>
  <c r="AB8" i="14"/>
  <c r="AB12" i="14"/>
  <c r="AB13" i="14"/>
  <c r="AB3" i="14"/>
  <c r="AB20" i="14"/>
  <c r="AB65" i="14"/>
  <c r="AB70" i="14"/>
  <c r="AB73" i="14"/>
  <c r="AB14" i="14"/>
  <c r="AB86" i="14"/>
  <c r="AB92" i="14"/>
  <c r="AB108" i="14"/>
  <c r="AB125" i="14"/>
  <c r="AB18" i="14"/>
  <c r="AB19" i="14"/>
  <c r="AB7" i="14"/>
  <c r="AB10" i="14"/>
  <c r="AB15" i="14"/>
  <c r="AB17" i="14"/>
  <c r="AB16" i="14"/>
  <c r="AB52" i="14"/>
  <c r="AB24" i="14"/>
  <c r="AB21" i="14"/>
  <c r="AB84" i="14"/>
  <c r="AB54" i="14"/>
  <c r="AB67" i="14"/>
  <c r="AB88" i="14"/>
  <c r="AB89" i="14"/>
  <c r="AB93" i="14"/>
  <c r="AB102" i="14"/>
  <c r="AB23" i="14"/>
  <c r="AB27" i="14"/>
  <c r="AB43" i="14"/>
  <c r="AB46" i="14"/>
  <c r="AB48" i="14"/>
  <c r="AB45" i="14"/>
  <c r="AB29" i="14"/>
  <c r="AB31" i="14"/>
  <c r="AB37" i="14"/>
  <c r="AB32" i="14"/>
  <c r="AB34" i="14"/>
  <c r="AB33" i="14"/>
  <c r="AB35" i="14"/>
  <c r="AB36" i="14"/>
  <c r="AB38" i="14"/>
  <c r="AB39" i="14"/>
  <c r="AB42" i="14"/>
  <c r="AB49" i="14"/>
  <c r="AB75" i="14"/>
  <c r="AB47" i="14"/>
  <c r="AB51" i="14"/>
  <c r="AB118" i="14"/>
  <c r="AB50" i="14"/>
  <c r="AB53" i="14"/>
  <c r="AB57" i="14"/>
  <c r="AB58" i="14"/>
  <c r="AB56" i="14"/>
  <c r="AB55" i="14"/>
  <c r="AB126" i="14"/>
  <c r="AB63" i="14"/>
  <c r="AB85" i="14"/>
  <c r="AB62" i="14"/>
  <c r="AB64" i="14"/>
  <c r="AB66" i="14"/>
  <c r="AB68" i="14"/>
  <c r="AB71" i="14"/>
  <c r="AB72" i="14"/>
  <c r="AB76" i="14"/>
  <c r="AB74" i="14"/>
  <c r="AB81" i="14"/>
  <c r="AB83" i="14"/>
  <c r="AB79" i="14"/>
  <c r="AB82" i="14"/>
  <c r="AB87" i="14"/>
  <c r="AB44" i="14"/>
  <c r="AB107" i="14"/>
  <c r="AB90" i="14"/>
  <c r="AB91" i="14"/>
  <c r="AB115" i="14"/>
  <c r="AB113" i="14"/>
  <c r="AB114" i="14"/>
  <c r="AB106" i="14"/>
  <c r="AB104" i="14"/>
  <c r="AB97" i="14"/>
  <c r="AB98" i="14"/>
  <c r="AB99" i="14"/>
  <c r="AB100" i="14"/>
  <c r="AB101" i="14"/>
  <c r="AB95" i="14"/>
  <c r="AB96" i="14"/>
  <c r="AB105" i="14"/>
  <c r="AB109" i="14"/>
  <c r="AB110" i="14"/>
  <c r="AB103" i="14"/>
  <c r="AB119" i="14"/>
  <c r="AB122" i="14"/>
  <c r="AB124" i="14"/>
  <c r="AB116" i="14"/>
  <c r="AB121" i="14"/>
  <c r="AB6" i="14"/>
  <c r="AD117" i="14"/>
  <c r="AD5" i="14"/>
  <c r="AD61" i="14"/>
  <c r="AD9" i="14"/>
  <c r="AD8" i="14"/>
  <c r="AD12" i="14"/>
  <c r="AD13" i="14"/>
  <c r="AD3" i="14"/>
  <c r="AD20" i="14"/>
  <c r="AD65" i="14"/>
  <c r="AD70" i="14"/>
  <c r="AD73" i="14"/>
  <c r="AD14" i="14"/>
  <c r="AD86" i="14"/>
  <c r="AD92" i="14"/>
  <c r="AD108" i="14"/>
  <c r="AD125" i="14"/>
  <c r="AD18" i="14"/>
  <c r="AD19" i="14"/>
  <c r="AD7" i="14"/>
  <c r="AD10" i="14"/>
  <c r="AD15" i="14"/>
  <c r="AD17" i="14"/>
  <c r="AD16" i="14"/>
  <c r="AD52" i="14"/>
  <c r="AD24" i="14"/>
  <c r="AD21" i="14"/>
  <c r="AD84" i="14"/>
  <c r="AD54" i="14"/>
  <c r="AD67" i="14"/>
  <c r="AD88" i="14"/>
  <c r="AD89" i="14"/>
  <c r="AD93" i="14"/>
  <c r="AD102" i="14"/>
  <c r="AD23" i="14"/>
  <c r="AD27" i="14"/>
  <c r="AD43" i="14"/>
  <c r="AD46" i="14"/>
  <c r="AD48" i="14"/>
  <c r="AD45" i="14"/>
  <c r="AD29" i="14"/>
  <c r="AD31" i="14"/>
  <c r="AD37" i="14"/>
  <c r="AD32" i="14"/>
  <c r="AD34" i="14"/>
  <c r="AD33" i="14"/>
  <c r="AD35" i="14"/>
  <c r="AD36" i="14"/>
  <c r="AD38" i="14"/>
  <c r="AD39" i="14"/>
  <c r="AD42" i="14"/>
  <c r="AD49" i="14"/>
  <c r="AD75" i="14"/>
  <c r="AD47" i="14"/>
  <c r="AD51" i="14"/>
  <c r="AD118" i="14"/>
  <c r="AD50" i="14"/>
  <c r="AD53" i="14"/>
  <c r="AD57" i="14"/>
  <c r="AD58" i="14"/>
  <c r="AD56" i="14"/>
  <c r="AD55" i="14"/>
  <c r="AD126" i="14"/>
  <c r="AD63" i="14"/>
  <c r="AD85" i="14"/>
  <c r="AD62" i="14"/>
  <c r="AD64" i="14"/>
  <c r="AD66" i="14"/>
  <c r="AD68" i="14"/>
  <c r="AD71" i="14"/>
  <c r="AD72" i="14"/>
  <c r="AD76" i="14"/>
  <c r="AD74" i="14"/>
  <c r="AD81" i="14"/>
  <c r="AD83" i="14"/>
  <c r="AD79" i="14"/>
  <c r="AD82" i="14"/>
  <c r="AD87" i="14"/>
  <c r="AD44" i="14"/>
  <c r="AD107" i="14"/>
  <c r="AD90" i="14"/>
  <c r="AD91" i="14"/>
  <c r="AD115" i="14"/>
  <c r="AD113" i="14"/>
  <c r="AD114" i="14"/>
  <c r="AD106" i="14"/>
  <c r="AD94" i="14"/>
  <c r="AD104" i="14"/>
  <c r="AD97" i="14"/>
  <c r="AD98" i="14"/>
  <c r="AD99" i="14"/>
  <c r="AD100" i="14"/>
  <c r="AD101" i="14"/>
  <c r="AD95" i="14"/>
  <c r="AD96" i="14"/>
  <c r="AD105" i="14"/>
  <c r="AD109" i="14"/>
  <c r="AD110" i="14"/>
  <c r="AD103" i="14"/>
  <c r="AD119" i="14"/>
  <c r="AD122" i="14"/>
  <c r="AD124" i="14"/>
  <c r="AD116" i="14"/>
  <c r="AD121" i="14"/>
  <c r="AD6" i="14"/>
  <c r="AC5" i="14"/>
  <c r="AC61" i="14"/>
  <c r="AC9" i="14"/>
  <c r="AC8" i="14"/>
  <c r="AC12" i="14"/>
  <c r="AC13" i="14"/>
  <c r="AC3" i="14"/>
  <c r="AC20" i="14"/>
  <c r="AC65" i="14"/>
  <c r="AC70" i="14"/>
  <c r="AC73" i="14"/>
  <c r="AC14" i="14"/>
  <c r="AC86" i="14"/>
  <c r="AC92" i="14"/>
  <c r="AC108" i="14"/>
  <c r="AC125" i="14"/>
  <c r="AC18" i="14"/>
  <c r="AC19" i="14"/>
  <c r="AC7" i="14"/>
  <c r="AC10" i="14"/>
  <c r="AC15" i="14"/>
  <c r="AC17" i="14"/>
  <c r="AC16" i="14"/>
  <c r="AC52" i="14"/>
  <c r="AC24" i="14"/>
  <c r="AC21" i="14"/>
  <c r="AC84" i="14"/>
  <c r="AC54" i="14"/>
  <c r="AC67" i="14"/>
  <c r="AC88" i="14"/>
  <c r="AC89" i="14"/>
  <c r="AC93" i="14"/>
  <c r="AC102" i="14"/>
  <c r="AC23" i="14"/>
  <c r="AC27" i="14"/>
  <c r="AC43" i="14"/>
  <c r="AC46" i="14"/>
  <c r="AC48" i="14"/>
  <c r="AC45" i="14"/>
  <c r="AC29" i="14"/>
  <c r="AC31" i="14"/>
  <c r="AC37" i="14"/>
  <c r="AC32" i="14"/>
  <c r="AC34" i="14"/>
  <c r="AC33" i="14"/>
  <c r="AC35" i="14"/>
  <c r="AC36" i="14"/>
  <c r="AC38" i="14"/>
  <c r="AC39" i="14"/>
  <c r="AC42" i="14"/>
  <c r="AC49" i="14"/>
  <c r="AC75" i="14"/>
  <c r="AC47" i="14"/>
  <c r="AC51" i="14"/>
  <c r="AC118" i="14"/>
  <c r="AC50" i="14"/>
  <c r="AC53" i="14"/>
  <c r="AC57" i="14"/>
  <c r="AC58" i="14"/>
  <c r="AC56" i="14"/>
  <c r="AC55" i="14"/>
  <c r="AC126" i="14"/>
  <c r="AC63" i="14"/>
  <c r="AC85" i="14"/>
  <c r="AC62" i="14"/>
  <c r="AC64" i="14"/>
  <c r="AC66" i="14"/>
  <c r="AC68" i="14"/>
  <c r="AC71" i="14"/>
  <c r="AC72" i="14"/>
  <c r="AC76" i="14"/>
  <c r="AC74" i="14"/>
  <c r="AC81" i="14"/>
  <c r="AC83" i="14"/>
  <c r="AC79" i="14"/>
  <c r="AC82" i="14"/>
  <c r="AC87" i="14"/>
  <c r="AC44" i="14"/>
  <c r="AC107" i="14"/>
  <c r="AC90" i="14"/>
  <c r="AC91" i="14"/>
  <c r="AC115" i="14"/>
  <c r="AC113" i="14"/>
  <c r="AC114" i="14"/>
  <c r="AC106" i="14"/>
  <c r="AC94" i="14"/>
  <c r="AC104" i="14"/>
  <c r="AC97" i="14"/>
  <c r="AC98" i="14"/>
  <c r="AC99" i="14"/>
  <c r="AC100" i="14"/>
  <c r="AC101" i="14"/>
  <c r="AC95" i="14"/>
  <c r="AC96" i="14"/>
  <c r="AC105" i="14"/>
  <c r="AC109" i="14"/>
  <c r="AC110" i="14"/>
  <c r="AC103" i="14"/>
  <c r="AC119" i="14"/>
  <c r="AC122" i="14"/>
  <c r="AC124" i="14"/>
  <c r="AC116" i="14"/>
  <c r="AC121" i="14"/>
  <c r="AC6" i="14"/>
  <c r="AC11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3"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0"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0"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3"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68"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1"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4"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5"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0"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06"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17"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0"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<sst xmlns="http://schemas.openxmlformats.org/spreadsheetml/2006/main" count="3025" uniqueCount="860">
  <si>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</si>
  <si>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</si>
  <si>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</si>
  <si>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</si>
  <si>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</si>
  <si>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</si>
  <si>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</si>
  <si>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</si>
  <si>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</si>
  <si>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</si>
  <si>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</si>
  <si>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</si>
  <si>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</si>
  <si>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</si>
  <si>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</si>
  <si>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</si>
  <si>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</si>
  <si>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</si>
  <si>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</si>
  <si>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</si>
  <si>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</si>
  <si>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</si>
  <si>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</si>
  <si>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</si>
  <si>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</si>
  <si>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</si>
  <si>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</si>
  <si>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</si>
  <si>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</si>
  <si>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</si>
  <si>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</si>
  <si>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</si>
  <si>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</si>
  <si>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</si>
  <si>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</si>
  <si>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</si>
  <si>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</si>
  <si>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</si>
  <si>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</si>
  <si>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</si>
  <si>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</si>
  <si>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</si>
  <si>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</si>
  <si>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</si>
  <si>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</si>
  <si>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</si>
  <si>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</si>
  <si>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</si>
  <si>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</si>
  <si>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</si>
  <si>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</si>
  <si>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</si>
  <si>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</si>
  <si>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</si>
  <si>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</si>
  <si>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</si>
  <si>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</si>
  <si>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</si>
  <si>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</si>
  <si>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</si>
  <si>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</si>
  <si>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</si>
  <si>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</si>
  <si>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</si>
  <si>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</si>
  <si>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</si>
  <si>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</si>
  <si>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</si>
  <si>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</si>
  <si>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</si>
  <si>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</si>
  <si>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</si>
  <si>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</si>
  <si>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</si>
  <si>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</si>
  <si>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</si>
  <si>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</si>
  <si>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</si>
  <si>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</si>
  <si>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</si>
  <si>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</si>
  <si>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</si>
  <si>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</si>
  <si>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</si>
  <si>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</si>
  <si>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</si>
  <si>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</si>
  <si>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</si>
  <si>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</si>
  <si>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</si>
  <si>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</si>
  <si>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</si>
  <si>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</si>
  <si>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</si>
  <si>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</si>
  <si>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</si>
  <si>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</si>
  <si>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</si>
  <si>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</si>
  <si>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</si>
  <si>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</si>
  <si>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</si>
  <si>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</si>
  <si>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</si>
  <si>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</si>
  <si>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</si>
  <si>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</si>
  <si>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</si>
  <si>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</si>
  <si>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</si>
  <si>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</si>
  <si>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</si>
  <si>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</si>
  <si>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</si>
  <si>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</si>
  <si>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</si>
  <si>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</si>
  <si>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</si>
  <si>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</si>
  <si>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</si>
  <si>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</si>
  <si>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</si>
  <si>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</si>
  <si>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</si>
  <si>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</si>
  <si>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</si>
  <si>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</si>
  <si>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</si>
  <si>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</si>
  <si>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</si>
  <si>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</si>
  <si>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</si>
  <si>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</si>
  <si>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</si>
  <si>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</si>
  <si>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</si>
  <si>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</si>
  <si>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</si>
  <si>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</si>
  <si>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</si>
  <si>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</si>
  <si>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</si>
  <si>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</si>
  <si>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</si>
  <si>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</si>
  <si>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</si>
  <si>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</si>
  <si>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</si>
  <si>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</si>
  <si>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</si>
  <si>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</si>
  <si>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</si>
  <si>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</si>
  <si>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</si>
  <si>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</si>
  <si>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</si>
  <si>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</si>
  <si>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</si>
  <si>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</si>
  <si>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</si>
  <si>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</si>
  <si>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</si>
  <si>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</si>
  <si>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</si>
  <si>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</si>
  <si>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</si>
  <si>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</si>
  <si>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</si>
  <si>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</si>
  <si>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</si>
  <si>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</si>
  <si>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</si>
  <si>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</si>
  <si>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</si>
  <si>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</si>
  <si>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</si>
  <si>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</si>
  <si>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</si>
  <si>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</si>
  <si>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</si>
  <si>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</si>
  <si>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</si>
  <si>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</si>
  <si>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</si>
  <si>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</si>
  <si>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</si>
  <si>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</si>
  <si>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</si>
  <si>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</si>
  <si>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</si>
  <si>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</si>
  <si>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</si>
  <si>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</si>
  <si>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</si>
  <si>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</si>
  <si>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</si>
  <si>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</si>
  <si>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</si>
  <si>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</si>
  <si>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</si>
  <si>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</si>
  <si>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</si>
  <si>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</si>
  <si>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</si>
  <si>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</si>
  <si>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</si>
  <si>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</si>
  <si>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</si>
  <si>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</si>
  <si>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</si>
  <si>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</si>
  <si>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</si>
  <si>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</si>
  <si>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</si>
  <si>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</si>
  <si>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</si>
  <si>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</si>
  <si>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</si>
  <si>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</si>
  <si>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</si>
  <si>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</si>
  <si>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</si>
  <si>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</si>
  <si>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</si>
  <si>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</si>
  <si>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</si>
  <si>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</si>
  <si>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</si>
  <si>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</si>
  <si>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</si>
  <si>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</si>
  <si>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</si>
  <si>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</si>
  <si>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</si>
  <si>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</si>
  <si>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</si>
  <si>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</si>
  <si>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</si>
  <si>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</si>
  <si>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</si>
  <si>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</si>
  <si>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</si>
  <si>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</si>
  <si>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</si>
  <si>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</si>
  <si>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</si>
  <si>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</si>
  <si>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</si>
  <si>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</si>
  <si>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</si>
  <si>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</si>
  <si>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</si>
  <si>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</si>
  <si>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</si>
  <si>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</si>
  <si>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</si>
  <si>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</si>
  <si>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</si>
  <si>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</si>
  <si>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</si>
  <si>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</si>
  <si>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</si>
  <si>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</si>
  <si>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</si>
  <si>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</si>
  <si>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</si>
  <si>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</si>
  <si>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</si>
  <si>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</si>
  <si>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</si>
  <si>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</si>
  <si>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</si>
  <si>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</si>
  <si>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</si>
  <si>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</si>
  <si>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</si>
  <si>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</si>
  <si>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</si>
  <si>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</si>
  <si>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</si>
  <si>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</si>
  <si>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</si>
  <si>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</si>
  <si>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</si>
  <si>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</si>
  <si>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</si>
  <si>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</si>
  <si>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</si>
  <si>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</si>
  <si>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</si>
  <si>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</si>
  <si>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</si>
  <si>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</si>
  <si>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</si>
  <si>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</si>
  <si>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</si>
  <si>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</si>
  <si>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</si>
  <si>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</si>
  <si>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</si>
  <si>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</si>
  <si>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</si>
  <si>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</si>
  <si>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</si>
  <si>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</si>
  <si>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</si>
  <si>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</si>
  <si>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</si>
  <si>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</si>
  <si>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</si>
  <si>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</si>
  <si>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</si>
  <si>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</si>
  <si>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</si>
  <si>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</si>
  <si>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</si>
  <si>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</si>
  <si>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</si>
  <si>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</si>
  <si>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</si>
  <si>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</si>
  <si>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</si>
  <si>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</si>
  <si>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</si>
  <si>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</si>
  <si>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</si>
  <si>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</si>
  <si>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</si>
  <si>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</si>
  <si>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</si>
  <si>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</si>
  <si>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</si>
  <si>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</si>
  <si>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</si>
  <si>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</si>
  <si>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</si>
  <si>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</si>
  <si>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</si>
  <si>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</si>
  <si>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</si>
  <si>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</si>
  <si>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</si>
  <si>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</si>
  <si>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</si>
  <si>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</si>
  <si>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</si>
  <si>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</si>
  <si>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</si>
  <si>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</si>
  <si>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</si>
  <si>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</si>
  <si>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</si>
  <si>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</si>
  <si>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</si>
  <si>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</si>
  <si>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</si>
  <si>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</si>
  <si>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</si>
  <si>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</si>
  <si>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</si>
  <si>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</si>
  <si>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</si>
  <si>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</si>
  <si>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</si>
  <si>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</si>
  <si>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</si>
  <si>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</si>
  <si>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</si>
  <si>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</si>
  <si>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</si>
  <si>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</si>
  <si>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</si>
  <si>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</si>
  <si>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</si>
  <si>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</si>
  <si>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</si>
  <si>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</si>
  <si>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</si>
  <si>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</si>
  <si>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</si>
  <si>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</si>
  <si>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</si>
  <si>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</si>
  <si>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</si>
  <si>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</si>
  <si>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</si>
  <si>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</si>
  <si>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</si>
  <si>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</si>
  <si>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</si>
  <si>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</si>
  <si>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</si>
  <si>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</si>
  <si>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</si>
  <si>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</si>
  <si>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</si>
  <si>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</si>
  <si>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</si>
  <si>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</si>
  <si>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</si>
  <si>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</si>
  <si>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</si>
  <si>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</si>
  <si>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</si>
  <si>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</si>
  <si>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</si>
  <si>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</si>
  <si>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</si>
  <si>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</si>
  <si>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</si>
  <si>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</si>
  <si>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</si>
  <si>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</si>
  <si>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</si>
  <si>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</si>
  <si>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</si>
  <si>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</si>
  <si>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</si>
  <si>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</si>
  <si>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</si>
  <si>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</si>
  <si>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</si>
  <si>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</si>
  <si>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</si>
  <si>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</si>
  <si>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</si>
  <si>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</si>
  <si>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</si>
  <si>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</si>
  <si>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</si>
  <si>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</si>
  <si>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</si>
  <si>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</si>
  <si>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</si>
  <si>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</si>
  <si>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</si>
  <si>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</si>
  <si>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</si>
  <si>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</si>
  <si>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</si>
  <si>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</si>
  <si>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</si>
  <si>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</si>
  <si>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</si>
  <si>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</si>
  <si>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</si>
  <si>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</si>
  <si>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</si>
  <si>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</si>
  <si>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</si>
  <si>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</si>
  <si>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</si>
  <si>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</si>
  <si>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</si>
  <si>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</si>
  <si>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</si>
  <si>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</si>
  <si>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</si>
  <si>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</si>
  <si>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</si>
  <si>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</si>
  <si>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</si>
  <si>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</si>
  <si>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</si>
  <si>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</si>
  <si>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</si>
  <si>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</si>
  <si>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</si>
  <si>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</si>
  <si>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</si>
  <si>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</si>
  <si>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</si>
  <si>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</si>
  <si>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</si>
  <si>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</si>
  <si>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</si>
  <si>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</si>
  <si>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</si>
  <si>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</si>
  <si>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</si>
  <si>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</si>
  <si>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</si>
  <si>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</si>
  <si>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</si>
  <si>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</si>
  <si>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</si>
  <si>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</si>
  <si>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</si>
  <si>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</si>
  <si>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</si>
  <si>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</si>
  <si>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</si>
  <si>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</si>
  <si>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</si>
  <si>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</si>
  <si>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</si>
  <si>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</si>
  <si>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</si>
  <si>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</si>
  <si>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</si>
  <si>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</si>
  <si>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</si>
  <si>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</si>
  <si>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</si>
  <si>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</si>
  <si>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</si>
  <si>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</si>
  <si>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</si>
  <si>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</si>
  <si>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</si>
  <si>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</si>
  <si>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</si>
  <si>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</si>
  <si>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</si>
  <si>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</si>
  <si>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</si>
  <si>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</si>
  <si>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</si>
  <si>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</si>
  <si>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</si>
  <si>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</si>
  <si>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</si>
  <si>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</si>
  <si>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</si>
  <si>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</si>
  <si>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</si>
  <si>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</si>
  <si>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</si>
  <si>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</si>
  <si>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</si>
  <si>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</si>
  <si>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</si>
  <si>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</si>
  <si>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</si>
  <si>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</si>
  <si>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</si>
  <si>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</si>
  <si>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</si>
  <si>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</si>
  <si>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</si>
  <si>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</si>
  <si>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</si>
  <si>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</si>
  <si>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</si>
  <si>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</si>
  <si>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</si>
  <si>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</si>
  <si>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</si>
  <si>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</si>
  <si>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</si>
  <si>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</si>
  <si>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</si>
  <si>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</si>
  <si>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</si>
  <si>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</si>
  <si>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</si>
  <si>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</si>
  <si>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</si>
  <si>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</si>
  <si>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</si>
  <si>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</si>
  <si>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</si>
  <si>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</si>
  <si>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</si>
  <si>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</si>
  <si>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</si>
  <si>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</si>
  <si>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</si>
  <si>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</si>
  <si>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</si>
  <si>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</si>
  <si>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</si>
  <si>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</si>
  <si>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</si>
  <si>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</si>
  <si>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</si>
  <si>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</si>
  <si>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</si>
  <si>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</si>
  <si>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</si>
  <si>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</si>
  <si>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</si>
  <si>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</si>
  <si>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</si>
  <si>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</si>
  <si>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</si>
  <si>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</si>
  <si>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</si>
  <si>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</si>
  <si>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</si>
  <si>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</si>
  <si>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</si>
  <si>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</si>
  <si>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</si>
  <si>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</si>
  <si>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</si>
  <si>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</si>
  <si>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</si>
  <si>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</si>
  <si>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</si>
  <si>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</si>
  <si>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</si>
  <si>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</si>
  <si>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</si>
  <si>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</si>
  <si>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</si>
  <si>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</si>
  <si>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</si>
  <si>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</si>
  <si>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</si>
  <si>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</si>
  <si>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</si>
  <si>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</si>
  <si>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</si>
  <si>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</si>
  <si>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</si>
  <si>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</si>
  <si>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</si>
  <si>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</si>
  <si>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</si>
  <si>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</si>
  <si>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</si>
  <si>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</si>
  <si>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</si>
  <si>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</si>
  <si>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</si>
  <si>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</si>
  <si>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</si>
  <si>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</si>
  <si>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</si>
  <si>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</si>
  <si>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</si>
  <si>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</si>
  <si>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</si>
  <si>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</si>
  <si>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</si>
  <si>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</si>
  <si>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</si>
  <si>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</si>
  <si>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</si>
  <si>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</si>
  <si>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</si>
  <si>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</si>
  <si>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</si>
  <si>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</si>
  <si>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</si>
  <si>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</si>
  <si>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</si>
  <si>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</si>
  <si>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</si>
  <si>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</si>
  <si>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</si>
  <si>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</si>
  <si>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</si>
  <si>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</si>
  <si>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</si>
  <si>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</si>
  <si>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</si>
  <si>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</si>
  <si>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</si>
  <si>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</si>
  <si>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</si>
  <si>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</si>
  <si>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</si>
  <si>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</si>
  <si>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</si>
  <si>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</si>
  <si>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</si>
  <si>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</si>
  <si>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</si>
  <si>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</si>
  <si>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</si>
  <si>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</si>
  <si>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</si>
  <si>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</si>
  <si>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</si>
  <si>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</si>
  <si>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</si>
  <si>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</si>
  <si>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</si>
  <si>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</si>
  <si>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</si>
  <si>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</si>
  <si>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</si>
  <si>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</si>
  <si>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</si>
  <si>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</si>
  <si>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</si>
  <si>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</si>
  <si>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</si>
  <si>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</si>
  <si>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</si>
  <si>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</si>
  <si>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</si>
  <si>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</si>
  <si>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</si>
  <si>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</si>
  <si>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</si>
  <si>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</si>
  <si>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</si>
  <si>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</si>
  <si>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</si>
  <si>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</si>
  <si>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</si>
  <si>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</si>
  <si>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</si>
  <si>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</si>
  <si>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</si>
  <si>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</si>
  <si>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</si>
  <si>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</si>
  <si>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</si>
  <si>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</si>
  <si>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</si>
  <si>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</si>
  <si>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</si>
  <si>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</si>
  <si>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</si>
  <si>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</si>
  <si>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</si>
  <si>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</si>
  <si>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</si>
  <si>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</si>
  <si>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</si>
  <si>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</si>
  <si>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</si>
  <si>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</si>
  <si>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</si>
  <si>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</si>
  <si>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</si>
  <si>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</si>
  <si>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</si>
  <si>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</si>
  <si>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</si>
  <si>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</si>
  <si>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</si>
  <si>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</si>
  <si>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</si>
  <si>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</si>
  <si>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</si>
  <si>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</si>
  <si>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</si>
  <si>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</si>
  <si>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</si>
  <si>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</si>
  <si>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</si>
  <si>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</si>
  <si>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</si>
  <si>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</si>
  <si>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</si>
  <si>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</si>
  <si>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</si>
  <si>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</si>
  <si>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</si>
  <si>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</si>
  <si>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</si>
  <si>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</si>
  <si>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</si>
  <si>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</si>
  <si>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</si>
  <si>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</si>
  <si>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</si>
  <si>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</si>
  <si>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</si>
  <si>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</si>
  <si>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</si>
  <si>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</si>
  <si>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</si>
  <si>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</si>
  <si>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</si>
  <si>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</si>
  <si>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</si>
  <si>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</si>
  <si>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</si>
  <si>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</si>
  <si>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</si>
  <si>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</si>
  <si>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</si>
  <si>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</si>
  <si>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</si>
  <si>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</si>
  <si>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</si>
  <si>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</si>
  <si>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</si>
  <si>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</si>
  <si>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</si>
  <si>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</si>
  <si>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</si>
  <si>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</si>
  <si>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</si>
  <si>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</si>
  <si>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</si>
  <si>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</si>
  <si>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</si>
  <si>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</si>
  <si>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schema, vann, skos, prov, qudt, unit</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</si>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</sst>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26">
    <sortCondition ref="B1:B126"/>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C110" activePane="bottomRight" state="frozen"/>
      <selection pane="topRight" activeCell="C1" sqref="C1"/>
      <selection pane="bottomLeft" activeCell="A2" sqref="A2"/>
      <selection pane="bottomRight" activeCell="G116" sqref="G116"/>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833</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30" x14ac:dyDescent="0.2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 t="shared" ref="AB2:AB34" si="0">COUNTIF(R2:T2, "yes")</f>
        <v>2</v>
      </c>
      <c r="AC2">
        <f t="shared" ref="AC2:AC34" si="1">COUNTIF(U2:W2, "yes")</f>
        <v>2</v>
      </c>
      <c r="AD2">
        <f t="shared" ref="AD2:AD34" si="2">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25">
      <c r="A4" t="s">
        <v>65</v>
      </c>
      <c r="B4" t="s">
        <v>66</v>
      </c>
      <c r="C4" s="17">
        <v>0.2</v>
      </c>
      <c r="D4">
        <v>2021</v>
      </c>
      <c r="F4" t="s">
        <v>0</v>
      </c>
      <c r="K4" t="s">
        <v>67</v>
      </c>
      <c r="M4" t="s">
        <v>68</v>
      </c>
      <c r="N4" s="4" t="s">
        <v>814</v>
      </c>
      <c r="O4" s="1" t="s">
        <v>813</v>
      </c>
      <c r="P4" s="3" t="s">
        <v>69</v>
      </c>
      <c r="Q4" s="3" t="s">
        <v>750</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2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2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2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2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ht="30" x14ac:dyDescent="0.25">
      <c r="A23" t="s">
        <v>174</v>
      </c>
      <c r="B23" t="s">
        <v>175</v>
      </c>
      <c r="C23" s="17" t="s">
        <v>73</v>
      </c>
      <c r="D23">
        <v>2019</v>
      </c>
      <c r="E23" t="s">
        <v>176</v>
      </c>
      <c r="F23" t="s">
        <v>15</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25">
      <c r="A25" t="s">
        <v>743</v>
      </c>
      <c r="B25" t="s">
        <v>737</v>
      </c>
      <c r="C25" s="17" t="s">
        <v>73</v>
      </c>
      <c r="D25">
        <v>2024</v>
      </c>
      <c r="F25" t="s">
        <v>14</v>
      </c>
      <c r="K25" t="s">
        <v>73</v>
      </c>
      <c r="M25" t="s">
        <v>738</v>
      </c>
      <c r="N25" t="s">
        <v>73</v>
      </c>
      <c r="O25" s="1" t="s">
        <v>739</v>
      </c>
      <c r="P25" s="3" t="s">
        <v>740</v>
      </c>
      <c r="Q25" s="3" t="s">
        <v>741</v>
      </c>
      <c r="R25" s="9" t="s">
        <v>60</v>
      </c>
      <c r="S25" s="9" t="s">
        <v>60</v>
      </c>
      <c r="T25" s="9" t="s">
        <v>60</v>
      </c>
      <c r="U25" s="9" t="s">
        <v>60</v>
      </c>
      <c r="V25" s="9" t="s">
        <v>61</v>
      </c>
      <c r="W25" s="9" t="s">
        <v>61</v>
      </c>
      <c r="X25" s="9" t="s">
        <v>61</v>
      </c>
      <c r="Y25" s="9" t="s">
        <v>60</v>
      </c>
      <c r="Z25" s="18" t="s">
        <v>60</v>
      </c>
      <c r="AA25" s="8"/>
      <c r="AB25">
        <f t="shared" si="0"/>
        <v>3</v>
      </c>
      <c r="AC25">
        <f t="shared" si="1"/>
        <v>1</v>
      </c>
      <c r="AD25">
        <f t="shared" si="2"/>
        <v>2</v>
      </c>
      <c r="AE25" t="s">
        <v>61</v>
      </c>
      <c r="AF25" t="s">
        <v>73</v>
      </c>
      <c r="AH25" t="s">
        <v>61</v>
      </c>
    </row>
    <row r="26" spans="1:34" ht="30" x14ac:dyDescent="0.25">
      <c r="A26" t="s">
        <v>184</v>
      </c>
      <c r="B26" t="s">
        <v>185</v>
      </c>
      <c r="C26" s="17" t="s">
        <v>123</v>
      </c>
      <c r="F26" t="s">
        <v>0</v>
      </c>
      <c r="G26" t="s">
        <v>14</v>
      </c>
      <c r="K26" t="s">
        <v>54</v>
      </c>
      <c r="M26" t="s">
        <v>186</v>
      </c>
      <c r="N26" s="1" t="s">
        <v>187</v>
      </c>
      <c r="O26" s="1" t="s">
        <v>187</v>
      </c>
      <c r="P26" s="3" t="s">
        <v>188</v>
      </c>
      <c r="Q26" s="3" t="s">
        <v>772</v>
      </c>
      <c r="R26" s="9" t="s">
        <v>60</v>
      </c>
      <c r="S26" s="9" t="s">
        <v>60</v>
      </c>
      <c r="T26" s="9" t="s">
        <v>60</v>
      </c>
      <c r="U26" s="9" t="s">
        <v>61</v>
      </c>
      <c r="V26" s="9" t="s">
        <v>60</v>
      </c>
      <c r="W26" s="9" t="s">
        <v>60</v>
      </c>
      <c r="X26" s="9" t="s">
        <v>60</v>
      </c>
      <c r="Y26" s="9" t="s">
        <v>60</v>
      </c>
      <c r="Z26" s="18" t="s">
        <v>60</v>
      </c>
      <c r="AA26" s="8" t="s">
        <v>62</v>
      </c>
      <c r="AB26">
        <f t="shared" si="0"/>
        <v>3</v>
      </c>
      <c r="AC26">
        <f t="shared" si="1"/>
        <v>2</v>
      </c>
      <c r="AD26">
        <f t="shared" si="2"/>
        <v>3</v>
      </c>
      <c r="AH26" t="s">
        <v>61</v>
      </c>
    </row>
    <row r="27" spans="1:34" x14ac:dyDescent="0.25">
      <c r="A27" t="s">
        <v>189</v>
      </c>
      <c r="B27" t="s">
        <v>190</v>
      </c>
      <c r="C27" s="17" t="s">
        <v>123</v>
      </c>
      <c r="F27" t="s">
        <v>14</v>
      </c>
      <c r="K27" t="s">
        <v>191</v>
      </c>
      <c r="M27" t="s">
        <v>192</v>
      </c>
      <c r="N27" s="1" t="s">
        <v>193</v>
      </c>
      <c r="O27" s="1" t="s">
        <v>194</v>
      </c>
      <c r="P27" s="3" t="s">
        <v>195</v>
      </c>
      <c r="Q27" s="3" t="s">
        <v>196</v>
      </c>
      <c r="R27" s="9" t="s">
        <v>60</v>
      </c>
      <c r="S27" s="9" t="s">
        <v>60</v>
      </c>
      <c r="T27" s="9" t="s">
        <v>61</v>
      </c>
      <c r="U27" s="9" t="s">
        <v>60</v>
      </c>
      <c r="V27" s="9" t="s">
        <v>60</v>
      </c>
      <c r="W27" s="9" t="s">
        <v>60</v>
      </c>
      <c r="X27" s="9" t="s">
        <v>60</v>
      </c>
      <c r="Y27" s="9" t="s">
        <v>60</v>
      </c>
      <c r="Z27" s="18" t="s">
        <v>61</v>
      </c>
      <c r="AA27" s="8" t="s">
        <v>104</v>
      </c>
      <c r="AB27">
        <f t="shared" si="0"/>
        <v>2</v>
      </c>
      <c r="AC27">
        <f t="shared" si="1"/>
        <v>3</v>
      </c>
      <c r="AD27">
        <f t="shared" si="2"/>
        <v>2</v>
      </c>
      <c r="AE27" t="s">
        <v>60</v>
      </c>
      <c r="AF27" t="s">
        <v>180</v>
      </c>
      <c r="AH27" t="s">
        <v>61</v>
      </c>
    </row>
    <row r="28" spans="1:34" x14ac:dyDescent="0.25">
      <c r="A28" t="s">
        <v>820</v>
      </c>
      <c r="B28" t="s">
        <v>821</v>
      </c>
      <c r="C28" s="17">
        <v>0.2</v>
      </c>
      <c r="D28">
        <v>2025</v>
      </c>
      <c r="F28" t="s">
        <v>8</v>
      </c>
      <c r="K28" t="s">
        <v>191</v>
      </c>
      <c r="M28" t="s">
        <v>827</v>
      </c>
      <c r="N28" s="1" t="s">
        <v>829</v>
      </c>
      <c r="O28" s="1" t="s">
        <v>826</v>
      </c>
      <c r="P28" s="3" t="s">
        <v>828</v>
      </c>
      <c r="Q28" s="3" t="s">
        <v>830</v>
      </c>
      <c r="R28" s="9" t="s">
        <v>60</v>
      </c>
      <c r="S28" s="9" t="s">
        <v>60</v>
      </c>
      <c r="T28" s="9" t="s">
        <v>60</v>
      </c>
      <c r="U28" s="9" t="s">
        <v>60</v>
      </c>
      <c r="V28" s="9" t="s">
        <v>61</v>
      </c>
      <c r="W28" s="9" t="s">
        <v>60</v>
      </c>
      <c r="X28" s="9" t="s">
        <v>60</v>
      </c>
      <c r="Y28" s="9" t="s">
        <v>60</v>
      </c>
      <c r="Z28" s="18" t="s">
        <v>61</v>
      </c>
      <c r="AA28" s="8"/>
      <c r="AB28">
        <f>COUNTIF(R28:T28, "yes")</f>
        <v>3</v>
      </c>
      <c r="AC28">
        <f>COUNTIF(U28:W28, "yes")</f>
        <v>2</v>
      </c>
      <c r="AD28">
        <f>COUNTIF(X28:Z28, "yes")</f>
        <v>2</v>
      </c>
      <c r="AE28" t="s">
        <v>61</v>
      </c>
      <c r="AF28" t="s">
        <v>73</v>
      </c>
    </row>
    <row r="29" spans="1:34" x14ac:dyDescent="0.25">
      <c r="A29" t="s">
        <v>197</v>
      </c>
      <c r="B29" t="s">
        <v>198</v>
      </c>
      <c r="C29" s="17" t="s">
        <v>73</v>
      </c>
      <c r="D29">
        <v>2024</v>
      </c>
      <c r="F29" t="s">
        <v>0</v>
      </c>
      <c r="G29" t="s">
        <v>10</v>
      </c>
      <c r="K29" t="s">
        <v>199</v>
      </c>
      <c r="M29" t="s">
        <v>822</v>
      </c>
      <c r="N29" t="s">
        <v>73</v>
      </c>
      <c r="O29" s="1" t="s">
        <v>200</v>
      </c>
      <c r="Q29" s="3" t="s">
        <v>752</v>
      </c>
      <c r="R29" s="9" t="s">
        <v>60</v>
      </c>
      <c r="S29" s="9" t="s">
        <v>61</v>
      </c>
      <c r="T29" s="9" t="s">
        <v>61</v>
      </c>
      <c r="U29" s="9" t="s">
        <v>60</v>
      </c>
      <c r="V29" s="9" t="s">
        <v>60</v>
      </c>
      <c r="W29" s="9" t="s">
        <v>61</v>
      </c>
      <c r="X29" s="9" t="s">
        <v>60</v>
      </c>
      <c r="Y29" s="9" t="s">
        <v>61</v>
      </c>
      <c r="Z29" s="18" t="s">
        <v>61</v>
      </c>
      <c r="AA29" s="8" t="s">
        <v>78</v>
      </c>
      <c r="AB29">
        <f t="shared" si="0"/>
        <v>1</v>
      </c>
      <c r="AC29">
        <f t="shared" si="1"/>
        <v>2</v>
      </c>
      <c r="AD29">
        <f t="shared" si="2"/>
        <v>1</v>
      </c>
      <c r="AE29" t="s">
        <v>61</v>
      </c>
      <c r="AF29" t="s">
        <v>73</v>
      </c>
      <c r="AH29" t="s">
        <v>61</v>
      </c>
    </row>
    <row r="30" spans="1:34" x14ac:dyDescent="0.25">
      <c r="A30" t="s">
        <v>201</v>
      </c>
      <c r="B30" t="s">
        <v>202</v>
      </c>
      <c r="F30" t="s">
        <v>0</v>
      </c>
      <c r="G30" t="s">
        <v>1</v>
      </c>
      <c r="K30" t="s">
        <v>73</v>
      </c>
      <c r="M30" t="s">
        <v>823</v>
      </c>
      <c r="N30" s="1" t="s">
        <v>203</v>
      </c>
      <c r="O30" s="1"/>
      <c r="P30" s="3" t="s">
        <v>73</v>
      </c>
      <c r="Q30" s="3" t="s">
        <v>777</v>
      </c>
      <c r="R30" s="9" t="s">
        <v>60</v>
      </c>
      <c r="S30" s="9" t="s">
        <v>61</v>
      </c>
      <c r="T30" s="9" t="s">
        <v>61</v>
      </c>
      <c r="U30" s="9" t="s">
        <v>60</v>
      </c>
      <c r="V30" s="9" t="s">
        <v>60</v>
      </c>
      <c r="W30" s="9" t="s">
        <v>60</v>
      </c>
      <c r="X30" s="9" t="s">
        <v>60</v>
      </c>
      <c r="Y30" s="11" t="s">
        <v>60</v>
      </c>
      <c r="Z30" s="18" t="s">
        <v>61</v>
      </c>
      <c r="AA30" s="8" t="s">
        <v>62</v>
      </c>
      <c r="AB30">
        <f t="shared" si="0"/>
        <v>1</v>
      </c>
      <c r="AC30">
        <f t="shared" si="1"/>
        <v>3</v>
      </c>
      <c r="AD30">
        <f t="shared" si="2"/>
        <v>2</v>
      </c>
      <c r="AH30" t="s">
        <v>61</v>
      </c>
    </row>
    <row r="31" spans="1:34" x14ac:dyDescent="0.25">
      <c r="A31" t="s">
        <v>204</v>
      </c>
      <c r="B31" t="s">
        <v>205</v>
      </c>
      <c r="C31" s="17">
        <v>0.5</v>
      </c>
      <c r="D31">
        <v>2020</v>
      </c>
      <c r="E31" t="s">
        <v>206</v>
      </c>
      <c r="F31" t="s">
        <v>16</v>
      </c>
      <c r="K31" t="s">
        <v>54</v>
      </c>
      <c r="M31" t="s">
        <v>824</v>
      </c>
      <c r="N31" s="1" t="s">
        <v>207</v>
      </c>
      <c r="O31" s="1" t="s">
        <v>208</v>
      </c>
      <c r="P31" s="3" t="s">
        <v>209</v>
      </c>
      <c r="Q31" s="3" t="s">
        <v>210</v>
      </c>
      <c r="R31" s="9" t="s">
        <v>60</v>
      </c>
      <c r="S31" s="9" t="s">
        <v>60</v>
      </c>
      <c r="T31" s="9" t="s">
        <v>61</v>
      </c>
      <c r="U31" s="9" t="s">
        <v>60</v>
      </c>
      <c r="V31" s="9" t="s">
        <v>60</v>
      </c>
      <c r="W31" s="9" t="s">
        <v>60</v>
      </c>
      <c r="X31" s="9" t="s">
        <v>60</v>
      </c>
      <c r="Y31" s="11" t="s">
        <v>60</v>
      </c>
      <c r="Z31" s="18" t="s">
        <v>60</v>
      </c>
      <c r="AA31" s="8" t="s">
        <v>78</v>
      </c>
      <c r="AB31">
        <f t="shared" si="0"/>
        <v>2</v>
      </c>
      <c r="AC31">
        <f t="shared" si="1"/>
        <v>3</v>
      </c>
      <c r="AD31">
        <f t="shared" si="2"/>
        <v>3</v>
      </c>
      <c r="AE31" t="s">
        <v>60</v>
      </c>
      <c r="AF31" t="s">
        <v>211</v>
      </c>
      <c r="AH31" t="s">
        <v>61</v>
      </c>
    </row>
    <row r="32" spans="1:34" x14ac:dyDescent="0.25">
      <c r="A32" t="s">
        <v>212</v>
      </c>
      <c r="B32" t="s">
        <v>213</v>
      </c>
      <c r="C32" s="17">
        <v>0.5</v>
      </c>
      <c r="D32">
        <v>2019</v>
      </c>
      <c r="E32" t="s">
        <v>206</v>
      </c>
      <c r="F32" t="s">
        <v>14</v>
      </c>
      <c r="K32" t="s">
        <v>191</v>
      </c>
      <c r="M32" t="s">
        <v>825</v>
      </c>
      <c r="N32" s="1" t="s">
        <v>214</v>
      </c>
      <c r="O32" s="1" t="s">
        <v>215</v>
      </c>
      <c r="Q32" s="3" t="s">
        <v>216</v>
      </c>
      <c r="R32" s="9" t="s">
        <v>60</v>
      </c>
      <c r="S32" s="9" t="s">
        <v>61</v>
      </c>
      <c r="T32" s="9" t="s">
        <v>61</v>
      </c>
      <c r="U32" s="9" t="s">
        <v>60</v>
      </c>
      <c r="V32" s="9" t="s">
        <v>60</v>
      </c>
      <c r="W32" s="9" t="s">
        <v>60</v>
      </c>
      <c r="X32" s="9" t="s">
        <v>60</v>
      </c>
      <c r="Y32" s="11" t="s">
        <v>60</v>
      </c>
      <c r="Z32" s="18" t="s">
        <v>60</v>
      </c>
      <c r="AA32" s="8" t="s">
        <v>89</v>
      </c>
      <c r="AB32">
        <f t="shared" si="0"/>
        <v>1</v>
      </c>
      <c r="AC32">
        <f t="shared" si="1"/>
        <v>3</v>
      </c>
      <c r="AD32">
        <f t="shared" si="2"/>
        <v>3</v>
      </c>
      <c r="AE32" t="s">
        <v>60</v>
      </c>
      <c r="AF32" t="s">
        <v>211</v>
      </c>
      <c r="AH32" t="s">
        <v>61</v>
      </c>
    </row>
    <row r="33" spans="1:34" x14ac:dyDescent="0.25">
      <c r="A33" t="s">
        <v>217</v>
      </c>
      <c r="B33" t="s">
        <v>218</v>
      </c>
      <c r="C33" s="17">
        <v>0.5</v>
      </c>
      <c r="D33">
        <v>2020</v>
      </c>
      <c r="E33" t="s">
        <v>206</v>
      </c>
      <c r="F33" t="s">
        <v>14</v>
      </c>
      <c r="K33" t="s">
        <v>191</v>
      </c>
      <c r="L33" t="s">
        <v>219</v>
      </c>
      <c r="M33" t="s">
        <v>220</v>
      </c>
      <c r="N33" s="1" t="s">
        <v>221</v>
      </c>
      <c r="O33" s="1" t="s">
        <v>222</v>
      </c>
      <c r="P33" s="3" t="s">
        <v>223</v>
      </c>
      <c r="Q33" s="3" t="s">
        <v>210</v>
      </c>
      <c r="R33" s="9" t="s">
        <v>60</v>
      </c>
      <c r="S33" s="9" t="s">
        <v>60</v>
      </c>
      <c r="T33" s="9" t="s">
        <v>61</v>
      </c>
      <c r="U33" s="9" t="s">
        <v>60</v>
      </c>
      <c r="V33" s="9" t="s">
        <v>60</v>
      </c>
      <c r="W33" s="9" t="s">
        <v>60</v>
      </c>
      <c r="X33" s="9" t="s">
        <v>60</v>
      </c>
      <c r="Y33" s="11" t="s">
        <v>60</v>
      </c>
      <c r="Z33" s="18" t="s">
        <v>60</v>
      </c>
      <c r="AA33" s="8" t="s">
        <v>98</v>
      </c>
      <c r="AB33">
        <f t="shared" si="0"/>
        <v>2</v>
      </c>
      <c r="AC33">
        <f t="shared" si="1"/>
        <v>3</v>
      </c>
      <c r="AD33">
        <f t="shared" si="2"/>
        <v>3</v>
      </c>
      <c r="AE33" t="s">
        <v>60</v>
      </c>
      <c r="AF33" t="s">
        <v>211</v>
      </c>
      <c r="AH33" t="s">
        <v>61</v>
      </c>
    </row>
    <row r="34" spans="1:34" x14ac:dyDescent="0.25">
      <c r="A34" t="s">
        <v>224</v>
      </c>
      <c r="B34" t="s">
        <v>225</v>
      </c>
      <c r="C34" s="17">
        <v>0.5</v>
      </c>
      <c r="D34">
        <v>2019</v>
      </c>
      <c r="E34" t="s">
        <v>226</v>
      </c>
      <c r="F34" t="s">
        <v>4</v>
      </c>
      <c r="K34" t="s">
        <v>191</v>
      </c>
      <c r="M34" t="s">
        <v>227</v>
      </c>
      <c r="N34" s="1" t="s">
        <v>228</v>
      </c>
      <c r="O34" s="1" t="s">
        <v>229</v>
      </c>
      <c r="P34" s="3" t="s">
        <v>230</v>
      </c>
      <c r="Q34" s="3" t="s">
        <v>775</v>
      </c>
      <c r="R34" s="9" t="s">
        <v>60</v>
      </c>
      <c r="S34" s="9" t="s">
        <v>60</v>
      </c>
      <c r="T34" s="9" t="s">
        <v>61</v>
      </c>
      <c r="U34" s="9" t="s">
        <v>60</v>
      </c>
      <c r="V34" s="9" t="s">
        <v>60</v>
      </c>
      <c r="W34" s="9" t="s">
        <v>60</v>
      </c>
      <c r="X34" s="9" t="s">
        <v>60</v>
      </c>
      <c r="Y34" s="11" t="s">
        <v>60</v>
      </c>
      <c r="Z34" s="18" t="s">
        <v>61</v>
      </c>
      <c r="AA34" s="8" t="s">
        <v>104</v>
      </c>
      <c r="AB34">
        <f t="shared" si="0"/>
        <v>2</v>
      </c>
      <c r="AC34">
        <f t="shared" si="1"/>
        <v>3</v>
      </c>
      <c r="AD34">
        <f t="shared" si="2"/>
        <v>2</v>
      </c>
      <c r="AE34" t="s">
        <v>60</v>
      </c>
      <c r="AF34" t="s">
        <v>211</v>
      </c>
      <c r="AH34" t="s">
        <v>61</v>
      </c>
    </row>
    <row r="35" spans="1:34" x14ac:dyDescent="0.25">
      <c r="A35" t="s">
        <v>231</v>
      </c>
      <c r="B35" t="s">
        <v>232</v>
      </c>
      <c r="C35" s="17">
        <v>0.5</v>
      </c>
      <c r="D35">
        <v>2020</v>
      </c>
      <c r="E35" t="s">
        <v>206</v>
      </c>
      <c r="F35" t="s">
        <v>9</v>
      </c>
      <c r="K35" t="s">
        <v>191</v>
      </c>
      <c r="M35" t="s">
        <v>233</v>
      </c>
      <c r="N35" s="1" t="s">
        <v>234</v>
      </c>
      <c r="O35" s="1" t="s">
        <v>235</v>
      </c>
      <c r="P35" s="3" t="s">
        <v>236</v>
      </c>
      <c r="Q35" s="3" t="s">
        <v>776</v>
      </c>
      <c r="R35" s="9" t="s">
        <v>60</v>
      </c>
      <c r="S35" s="9" t="s">
        <v>60</v>
      </c>
      <c r="T35" s="9" t="s">
        <v>61</v>
      </c>
      <c r="U35" s="9" t="s">
        <v>60</v>
      </c>
      <c r="V35" s="9" t="s">
        <v>60</v>
      </c>
      <c r="W35" s="9" t="s">
        <v>60</v>
      </c>
      <c r="X35" s="9" t="s">
        <v>60</v>
      </c>
      <c r="Y35" s="11" t="s">
        <v>60</v>
      </c>
      <c r="Z35" s="18" t="s">
        <v>60</v>
      </c>
      <c r="AA35" s="8" t="s">
        <v>78</v>
      </c>
      <c r="AB35">
        <f t="shared" ref="AB35:AB66" si="3">COUNTIF(R35:T35, "yes")</f>
        <v>2</v>
      </c>
      <c r="AC35">
        <f t="shared" ref="AC35:AC66" si="4">COUNTIF(U35:W35, "yes")</f>
        <v>3</v>
      </c>
      <c r="AD35">
        <f t="shared" ref="AD35:AD66" si="5">COUNTIF(X35:Z35, "yes")</f>
        <v>3</v>
      </c>
      <c r="AE35" t="s">
        <v>60</v>
      </c>
      <c r="AF35" t="s">
        <v>211</v>
      </c>
      <c r="AH35" t="s">
        <v>61</v>
      </c>
    </row>
    <row r="36" spans="1:34" x14ac:dyDescent="0.25">
      <c r="A36" t="s">
        <v>237</v>
      </c>
      <c r="B36" t="s">
        <v>238</v>
      </c>
      <c r="C36" s="17">
        <v>0.5</v>
      </c>
      <c r="D36">
        <v>2022</v>
      </c>
      <c r="E36" t="s">
        <v>239</v>
      </c>
      <c r="F36" t="s">
        <v>14</v>
      </c>
      <c r="K36" t="s">
        <v>191</v>
      </c>
      <c r="L36" t="s">
        <v>240</v>
      </c>
      <c r="M36" t="s">
        <v>241</v>
      </c>
      <c r="N36" s="1" t="s">
        <v>242</v>
      </c>
      <c r="O36" s="1" t="s">
        <v>243</v>
      </c>
      <c r="P36" s="3" t="s">
        <v>236</v>
      </c>
      <c r="Q36" s="3" t="s">
        <v>778</v>
      </c>
      <c r="R36" s="9" t="s">
        <v>60</v>
      </c>
      <c r="S36" s="9" t="s">
        <v>60</v>
      </c>
      <c r="T36" s="9" t="s">
        <v>61</v>
      </c>
      <c r="U36" s="9" t="s">
        <v>60</v>
      </c>
      <c r="V36" s="9" t="s">
        <v>60</v>
      </c>
      <c r="W36" s="9" t="s">
        <v>60</v>
      </c>
      <c r="X36" s="9" t="s">
        <v>60</v>
      </c>
      <c r="Y36" s="11" t="s">
        <v>60</v>
      </c>
      <c r="Z36" s="18" t="s">
        <v>61</v>
      </c>
      <c r="AA36" s="8" t="s">
        <v>78</v>
      </c>
      <c r="AB36">
        <f t="shared" si="3"/>
        <v>2</v>
      </c>
      <c r="AC36">
        <f t="shared" si="4"/>
        <v>3</v>
      </c>
      <c r="AD36">
        <f t="shared" si="5"/>
        <v>2</v>
      </c>
      <c r="AE36" t="s">
        <v>60</v>
      </c>
      <c r="AF36" t="s">
        <v>211</v>
      </c>
      <c r="AH36" t="s">
        <v>61</v>
      </c>
    </row>
    <row r="37" spans="1:34" x14ac:dyDescent="0.25">
      <c r="A37" t="s">
        <v>244</v>
      </c>
      <c r="B37" t="s">
        <v>245</v>
      </c>
      <c r="C37" s="17">
        <v>0.5</v>
      </c>
      <c r="D37">
        <v>2019</v>
      </c>
      <c r="E37" t="s">
        <v>11</v>
      </c>
      <c r="F37" t="s">
        <v>11</v>
      </c>
      <c r="K37" t="s">
        <v>54</v>
      </c>
      <c r="M37" t="s">
        <v>246</v>
      </c>
      <c r="N37" s="1" t="s">
        <v>247</v>
      </c>
      <c r="O37" s="1" t="s">
        <v>248</v>
      </c>
      <c r="P37" s="3" t="s">
        <v>249</v>
      </c>
      <c r="Q37" s="3" t="s">
        <v>779</v>
      </c>
      <c r="R37" s="9" t="s">
        <v>60</v>
      </c>
      <c r="S37" s="9" t="s">
        <v>60</v>
      </c>
      <c r="T37" s="9" t="s">
        <v>61</v>
      </c>
      <c r="U37" s="9" t="s">
        <v>60</v>
      </c>
      <c r="V37" s="9" t="s">
        <v>60</v>
      </c>
      <c r="W37" s="9" t="s">
        <v>60</v>
      </c>
      <c r="X37" s="9" t="s">
        <v>60</v>
      </c>
      <c r="Y37" s="11" t="s">
        <v>60</v>
      </c>
      <c r="Z37" s="18" t="s">
        <v>60</v>
      </c>
      <c r="AA37" s="8" t="s">
        <v>78</v>
      </c>
      <c r="AB37">
        <f t="shared" si="3"/>
        <v>2</v>
      </c>
      <c r="AC37">
        <f t="shared" si="4"/>
        <v>3</v>
      </c>
      <c r="AD37">
        <f t="shared" si="5"/>
        <v>3</v>
      </c>
      <c r="AE37" t="s">
        <v>60</v>
      </c>
      <c r="AF37" t="s">
        <v>211</v>
      </c>
      <c r="AH37" t="s">
        <v>61</v>
      </c>
    </row>
    <row r="38" spans="1:34" ht="30" x14ac:dyDescent="0.25">
      <c r="A38" t="s">
        <v>250</v>
      </c>
      <c r="B38" t="s">
        <v>251</v>
      </c>
      <c r="C38" s="17">
        <v>0.5</v>
      </c>
      <c r="D38">
        <v>2019</v>
      </c>
      <c r="E38" t="s">
        <v>226</v>
      </c>
      <c r="F38" t="s">
        <v>3</v>
      </c>
      <c r="G38" t="s">
        <v>17</v>
      </c>
      <c r="K38" t="s">
        <v>191</v>
      </c>
      <c r="M38" t="s">
        <v>252</v>
      </c>
      <c r="N38" s="1" t="s">
        <v>253</v>
      </c>
      <c r="O38" s="1" t="s">
        <v>254</v>
      </c>
      <c r="P38" s="3" t="s">
        <v>255</v>
      </c>
      <c r="Q38" s="3" t="s">
        <v>780</v>
      </c>
      <c r="R38" s="9" t="s">
        <v>60</v>
      </c>
      <c r="S38" s="9" t="s">
        <v>60</v>
      </c>
      <c r="T38" s="9" t="s">
        <v>61</v>
      </c>
      <c r="U38" s="9" t="s">
        <v>60</v>
      </c>
      <c r="V38" s="9" t="s">
        <v>60</v>
      </c>
      <c r="W38" s="9" t="s">
        <v>60</v>
      </c>
      <c r="X38" s="9" t="s">
        <v>60</v>
      </c>
      <c r="Y38" s="11" t="s">
        <v>60</v>
      </c>
      <c r="Z38" s="18" t="s">
        <v>61</v>
      </c>
      <c r="AA38" s="8" t="s">
        <v>89</v>
      </c>
      <c r="AB38">
        <f t="shared" si="3"/>
        <v>2</v>
      </c>
      <c r="AC38">
        <f t="shared" si="4"/>
        <v>3</v>
      </c>
      <c r="AD38">
        <f t="shared" si="5"/>
        <v>2</v>
      </c>
      <c r="AE38" t="s">
        <v>60</v>
      </c>
      <c r="AF38" t="s">
        <v>211</v>
      </c>
      <c r="AH38" t="s">
        <v>61</v>
      </c>
    </row>
    <row r="39" spans="1:34" x14ac:dyDescent="0.25">
      <c r="A39" t="s">
        <v>256</v>
      </c>
      <c r="B39" t="s">
        <v>257</v>
      </c>
      <c r="C39" s="17">
        <v>0.5</v>
      </c>
      <c r="D39">
        <v>2019</v>
      </c>
      <c r="E39" t="s">
        <v>206</v>
      </c>
      <c r="F39" t="s">
        <v>14</v>
      </c>
      <c r="K39" t="s">
        <v>191</v>
      </c>
      <c r="M39" t="s">
        <v>258</v>
      </c>
      <c r="N39" s="1" t="s">
        <v>259</v>
      </c>
      <c r="O39" s="1" t="s">
        <v>260</v>
      </c>
      <c r="P39" s="3" t="s">
        <v>261</v>
      </c>
      <c r="Q39" s="3" t="s">
        <v>210</v>
      </c>
      <c r="R39" s="9" t="s">
        <v>60</v>
      </c>
      <c r="S39" s="9" t="s">
        <v>60</v>
      </c>
      <c r="T39" s="9" t="s">
        <v>61</v>
      </c>
      <c r="U39" s="9" t="s">
        <v>60</v>
      </c>
      <c r="V39" s="9" t="s">
        <v>60</v>
      </c>
      <c r="W39" s="9" t="s">
        <v>60</v>
      </c>
      <c r="X39" s="9" t="s">
        <v>60</v>
      </c>
      <c r="Y39" s="11" t="s">
        <v>60</v>
      </c>
      <c r="Z39" s="18" t="s">
        <v>60</v>
      </c>
      <c r="AA39" s="8" t="s">
        <v>98</v>
      </c>
      <c r="AB39">
        <f t="shared" si="3"/>
        <v>2</v>
      </c>
      <c r="AC39">
        <f t="shared" si="4"/>
        <v>3</v>
      </c>
      <c r="AD39">
        <f t="shared" si="5"/>
        <v>3</v>
      </c>
      <c r="AE39" t="s">
        <v>60</v>
      </c>
      <c r="AF39" t="s">
        <v>211</v>
      </c>
      <c r="AH39" t="s">
        <v>61</v>
      </c>
    </row>
    <row r="40" spans="1:34" x14ac:dyDescent="0.25">
      <c r="A40" t="s">
        <v>262</v>
      </c>
      <c r="B40" t="s">
        <v>263</v>
      </c>
      <c r="F40" t="s">
        <v>14</v>
      </c>
      <c r="N40" s="1" t="s">
        <v>264</v>
      </c>
      <c r="O40" s="1"/>
      <c r="P40" s="3" t="s">
        <v>73</v>
      </c>
      <c r="Q40" s="3" t="s">
        <v>778</v>
      </c>
      <c r="R40" s="9" t="s">
        <v>60</v>
      </c>
      <c r="S40" s="9" t="s">
        <v>61</v>
      </c>
      <c r="T40" s="9" t="s">
        <v>61</v>
      </c>
      <c r="U40" s="9" t="s">
        <v>60</v>
      </c>
      <c r="V40" s="9" t="s">
        <v>60</v>
      </c>
      <c r="W40" s="9" t="s">
        <v>60</v>
      </c>
      <c r="X40" s="9" t="s">
        <v>60</v>
      </c>
      <c r="Y40" s="11" t="s">
        <v>60</v>
      </c>
      <c r="Z40" s="18" t="s">
        <v>61</v>
      </c>
      <c r="AA40" s="8" t="s">
        <v>62</v>
      </c>
      <c r="AB40">
        <f t="shared" si="3"/>
        <v>1</v>
      </c>
      <c r="AC40">
        <f t="shared" si="4"/>
        <v>3</v>
      </c>
      <c r="AD40">
        <f t="shared" si="5"/>
        <v>2</v>
      </c>
      <c r="AH40" t="s">
        <v>61</v>
      </c>
    </row>
    <row r="41" spans="1:34" ht="30" x14ac:dyDescent="0.25">
      <c r="A41" t="s">
        <v>265</v>
      </c>
      <c r="B41" t="s">
        <v>266</v>
      </c>
      <c r="D41">
        <v>2019</v>
      </c>
      <c r="F41" t="s">
        <v>4</v>
      </c>
      <c r="G41" t="s">
        <v>665</v>
      </c>
      <c r="K41" t="s">
        <v>191</v>
      </c>
      <c r="N41" s="1" t="s">
        <v>267</v>
      </c>
      <c r="O41" s="1"/>
      <c r="P41" s="3" t="s">
        <v>73</v>
      </c>
      <c r="Q41" s="3" t="s">
        <v>781</v>
      </c>
      <c r="R41" s="9" t="s">
        <v>60</v>
      </c>
      <c r="S41" s="9" t="s">
        <v>61</v>
      </c>
      <c r="T41" s="9" t="s">
        <v>61</v>
      </c>
      <c r="U41" s="9" t="s">
        <v>60</v>
      </c>
      <c r="V41" s="9" t="s">
        <v>60</v>
      </c>
      <c r="W41" s="9" t="s">
        <v>60</v>
      </c>
      <c r="X41" s="9" t="s">
        <v>60</v>
      </c>
      <c r="Y41" s="11" t="s">
        <v>60</v>
      </c>
      <c r="Z41" s="18" t="s">
        <v>60</v>
      </c>
      <c r="AA41" s="8" t="s">
        <v>62</v>
      </c>
      <c r="AB41">
        <f t="shared" si="3"/>
        <v>1</v>
      </c>
      <c r="AC41">
        <f t="shared" si="4"/>
        <v>3</v>
      </c>
      <c r="AD41">
        <f t="shared" si="5"/>
        <v>3</v>
      </c>
      <c r="AH41" t="s">
        <v>61</v>
      </c>
    </row>
    <row r="42" spans="1:34" x14ac:dyDescent="0.25">
      <c r="A42" t="s">
        <v>268</v>
      </c>
      <c r="B42" t="s">
        <v>269</v>
      </c>
      <c r="C42" s="17">
        <v>0.5</v>
      </c>
      <c r="D42">
        <v>2020</v>
      </c>
      <c r="E42" t="s">
        <v>206</v>
      </c>
      <c r="F42" t="s">
        <v>14</v>
      </c>
      <c r="K42" t="s">
        <v>191</v>
      </c>
      <c r="M42" t="s">
        <v>270</v>
      </c>
      <c r="N42" s="1" t="s">
        <v>271</v>
      </c>
      <c r="O42" s="1" t="s">
        <v>272</v>
      </c>
      <c r="P42" s="3" t="s">
        <v>73</v>
      </c>
      <c r="Q42" s="3" t="s">
        <v>216</v>
      </c>
      <c r="R42" s="9" t="s">
        <v>60</v>
      </c>
      <c r="S42" s="9" t="s">
        <v>61</v>
      </c>
      <c r="T42" s="9" t="s">
        <v>61</v>
      </c>
      <c r="U42" s="9" t="s">
        <v>60</v>
      </c>
      <c r="V42" s="9" t="s">
        <v>60</v>
      </c>
      <c r="W42" s="9" t="s">
        <v>60</v>
      </c>
      <c r="X42" s="9" t="s">
        <v>60</v>
      </c>
      <c r="Y42" s="11" t="s">
        <v>60</v>
      </c>
      <c r="Z42" s="18" t="s">
        <v>60</v>
      </c>
      <c r="AA42" s="8" t="s">
        <v>104</v>
      </c>
      <c r="AB42">
        <f t="shared" si="3"/>
        <v>1</v>
      </c>
      <c r="AC42">
        <f t="shared" si="4"/>
        <v>3</v>
      </c>
      <c r="AD42">
        <f t="shared" si="5"/>
        <v>3</v>
      </c>
      <c r="AE42" t="s">
        <v>60</v>
      </c>
      <c r="AF42" t="s">
        <v>211</v>
      </c>
      <c r="AH42" t="s">
        <v>61</v>
      </c>
    </row>
    <row r="43" spans="1:34" x14ac:dyDescent="0.25">
      <c r="A43" s="7" t="s">
        <v>273</v>
      </c>
      <c r="B43" t="s">
        <v>274</v>
      </c>
      <c r="C43" s="17" t="s">
        <v>73</v>
      </c>
      <c r="D43">
        <v>2019</v>
      </c>
      <c r="E43" t="s">
        <v>176</v>
      </c>
      <c r="F43" t="s">
        <v>17</v>
      </c>
      <c r="K43" t="s">
        <v>73</v>
      </c>
      <c r="M43" t="s">
        <v>177</v>
      </c>
      <c r="N43" t="s">
        <v>73</v>
      </c>
      <c r="O43" s="1" t="s">
        <v>275</v>
      </c>
      <c r="P43" s="3" t="s">
        <v>73</v>
      </c>
      <c r="Q43" s="3" t="s">
        <v>73</v>
      </c>
      <c r="R43" s="9" t="s">
        <v>61</v>
      </c>
      <c r="S43" s="9" t="s">
        <v>61</v>
      </c>
      <c r="T43" s="9" t="s">
        <v>61</v>
      </c>
      <c r="U43" s="9" t="s">
        <v>61</v>
      </c>
      <c r="V43" s="9" t="s">
        <v>61</v>
      </c>
      <c r="W43" s="9" t="s">
        <v>61</v>
      </c>
      <c r="X43" s="9" t="s">
        <v>61</v>
      </c>
      <c r="Y43" s="9" t="s">
        <v>61</v>
      </c>
      <c r="Z43" s="18" t="s">
        <v>61</v>
      </c>
      <c r="AA43" s="8" t="s">
        <v>89</v>
      </c>
      <c r="AB43">
        <f t="shared" si="3"/>
        <v>0</v>
      </c>
      <c r="AC43">
        <f t="shared" si="4"/>
        <v>0</v>
      </c>
      <c r="AD43">
        <f t="shared" si="5"/>
        <v>0</v>
      </c>
      <c r="AE43" t="s">
        <v>61</v>
      </c>
      <c r="AF43" t="s">
        <v>73</v>
      </c>
      <c r="AH43" t="s">
        <v>61</v>
      </c>
    </row>
    <row r="44" spans="1:34" x14ac:dyDescent="0.25">
      <c r="A44" t="s">
        <v>276</v>
      </c>
      <c r="B44" t="s">
        <v>277</v>
      </c>
      <c r="C44" s="17" t="s">
        <v>278</v>
      </c>
      <c r="D44">
        <v>2019</v>
      </c>
      <c r="F44" t="s">
        <v>10</v>
      </c>
      <c r="K44" t="s">
        <v>199</v>
      </c>
      <c r="M44" t="s">
        <v>279</v>
      </c>
      <c r="N44" s="1" t="s">
        <v>280</v>
      </c>
      <c r="O44" s="1" t="s">
        <v>280</v>
      </c>
      <c r="Q44" s="3" t="s">
        <v>800</v>
      </c>
      <c r="R44" s="9" t="s">
        <v>60</v>
      </c>
      <c r="S44" s="9" t="s">
        <v>61</v>
      </c>
      <c r="T44" s="9" t="s">
        <v>61</v>
      </c>
      <c r="U44" s="9" t="s">
        <v>60</v>
      </c>
      <c r="V44" s="9" t="s">
        <v>60</v>
      </c>
      <c r="W44" s="9" t="s">
        <v>60</v>
      </c>
      <c r="X44" s="9" t="s">
        <v>60</v>
      </c>
      <c r="Y44" s="9" t="s">
        <v>60</v>
      </c>
      <c r="Z44" s="18" t="s">
        <v>61</v>
      </c>
      <c r="AA44" s="8" t="s">
        <v>89</v>
      </c>
      <c r="AB44">
        <f t="shared" si="3"/>
        <v>1</v>
      </c>
      <c r="AC44">
        <f t="shared" si="4"/>
        <v>3</v>
      </c>
      <c r="AD44">
        <f t="shared" si="5"/>
        <v>2</v>
      </c>
      <c r="AE44" t="s">
        <v>61</v>
      </c>
      <c r="AF44" t="s">
        <v>73</v>
      </c>
      <c r="AH44" t="s">
        <v>61</v>
      </c>
    </row>
    <row r="45" spans="1:34" x14ac:dyDescent="0.25">
      <c r="A45" t="s">
        <v>281</v>
      </c>
      <c r="B45" t="s">
        <v>282</v>
      </c>
      <c r="C45" s="17" t="s">
        <v>73</v>
      </c>
      <c r="D45">
        <v>2023</v>
      </c>
      <c r="E45" t="s">
        <v>2</v>
      </c>
      <c r="F45" t="s">
        <v>2</v>
      </c>
      <c r="G45" t="s">
        <v>11</v>
      </c>
      <c r="K45" t="s">
        <v>54</v>
      </c>
      <c r="L45" t="s">
        <v>283</v>
      </c>
      <c r="N45" s="1" t="s">
        <v>284</v>
      </c>
      <c r="O45" s="1" t="s">
        <v>285</v>
      </c>
      <c r="P45" s="3" t="s">
        <v>286</v>
      </c>
      <c r="Q45" s="3" t="s">
        <v>774</v>
      </c>
      <c r="R45" s="9" t="s">
        <v>60</v>
      </c>
      <c r="S45" s="9" t="s">
        <v>60</v>
      </c>
      <c r="T45" s="9" t="s">
        <v>60</v>
      </c>
      <c r="U45" s="9" t="s">
        <v>60</v>
      </c>
      <c r="V45" s="9" t="s">
        <v>60</v>
      </c>
      <c r="W45" s="9" t="s">
        <v>60</v>
      </c>
      <c r="X45" s="9" t="s">
        <v>60</v>
      </c>
      <c r="Y45" s="9" t="s">
        <v>61</v>
      </c>
      <c r="Z45" s="18" t="s">
        <v>61</v>
      </c>
      <c r="AA45" s="8" t="s">
        <v>98</v>
      </c>
      <c r="AB45">
        <f t="shared" si="3"/>
        <v>3</v>
      </c>
      <c r="AC45">
        <f t="shared" si="4"/>
        <v>3</v>
      </c>
      <c r="AD45">
        <f t="shared" si="5"/>
        <v>1</v>
      </c>
      <c r="AE45" t="s">
        <v>61</v>
      </c>
      <c r="AF45" t="s">
        <v>73</v>
      </c>
      <c r="AH45" t="s">
        <v>61</v>
      </c>
    </row>
    <row r="46" spans="1:34" x14ac:dyDescent="0.25">
      <c r="A46" t="s">
        <v>287</v>
      </c>
      <c r="B46" t="s">
        <v>69</v>
      </c>
      <c r="C46" s="17">
        <v>0.8</v>
      </c>
      <c r="D46">
        <v>2019</v>
      </c>
      <c r="E46" t="s">
        <v>176</v>
      </c>
      <c r="F46" t="s">
        <v>17</v>
      </c>
      <c r="K46" t="s">
        <v>67</v>
      </c>
      <c r="M46" t="s">
        <v>288</v>
      </c>
      <c r="N46" s="1" t="s">
        <v>289</v>
      </c>
      <c r="O46" s="1" t="s">
        <v>290</v>
      </c>
      <c r="P46" s="3" t="s">
        <v>291</v>
      </c>
      <c r="Q46" s="3" t="s">
        <v>773</v>
      </c>
      <c r="R46" s="9" t="s">
        <v>60</v>
      </c>
      <c r="S46" s="9" t="s">
        <v>60</v>
      </c>
      <c r="T46" s="9" t="s">
        <v>61</v>
      </c>
      <c r="U46" s="9" t="s">
        <v>60</v>
      </c>
      <c r="V46" s="9" t="s">
        <v>60</v>
      </c>
      <c r="W46" s="9" t="s">
        <v>60</v>
      </c>
      <c r="X46" s="9" t="s">
        <v>60</v>
      </c>
      <c r="Y46" s="9" t="s">
        <v>60</v>
      </c>
      <c r="Z46" s="18" t="s">
        <v>61</v>
      </c>
      <c r="AA46" s="8" t="s">
        <v>104</v>
      </c>
      <c r="AB46">
        <f t="shared" si="3"/>
        <v>2</v>
      </c>
      <c r="AC46">
        <f t="shared" si="4"/>
        <v>3</v>
      </c>
      <c r="AD46">
        <f t="shared" si="5"/>
        <v>2</v>
      </c>
      <c r="AE46" t="s">
        <v>61</v>
      </c>
      <c r="AF46" t="s">
        <v>73</v>
      </c>
      <c r="AH46" t="s">
        <v>61</v>
      </c>
    </row>
    <row r="47" spans="1:34" x14ac:dyDescent="0.25">
      <c r="A47" t="s">
        <v>292</v>
      </c>
      <c r="B47" t="s">
        <v>293</v>
      </c>
      <c r="C47" s="17" t="s">
        <v>52</v>
      </c>
      <c r="D47">
        <v>2022</v>
      </c>
      <c r="E47" t="s">
        <v>294</v>
      </c>
      <c r="F47" t="s">
        <v>0</v>
      </c>
      <c r="G47" t="s">
        <v>15</v>
      </c>
      <c r="K47" t="s">
        <v>73</v>
      </c>
      <c r="M47" t="s">
        <v>170</v>
      </c>
      <c r="N47" s="1" t="s">
        <v>295</v>
      </c>
      <c r="O47" s="1" t="s">
        <v>296</v>
      </c>
      <c r="P47" s="3" t="s">
        <v>297</v>
      </c>
      <c r="Q47" s="3" t="s">
        <v>784</v>
      </c>
      <c r="R47" s="9" t="s">
        <v>60</v>
      </c>
      <c r="S47" s="9" t="s">
        <v>60</v>
      </c>
      <c r="T47" s="9" t="s">
        <v>61</v>
      </c>
      <c r="U47" s="9" t="s">
        <v>60</v>
      </c>
      <c r="V47" s="9" t="s">
        <v>60</v>
      </c>
      <c r="W47" s="9" t="s">
        <v>60</v>
      </c>
      <c r="X47" s="9" t="s">
        <v>60</v>
      </c>
      <c r="Y47" s="10" t="s">
        <v>61</v>
      </c>
      <c r="Z47" s="18" t="s">
        <v>61</v>
      </c>
      <c r="AA47" s="8" t="s">
        <v>78</v>
      </c>
      <c r="AB47">
        <f t="shared" si="3"/>
        <v>2</v>
      </c>
      <c r="AC47">
        <f t="shared" si="4"/>
        <v>3</v>
      </c>
      <c r="AD47">
        <f t="shared" si="5"/>
        <v>1</v>
      </c>
      <c r="AE47" t="s">
        <v>61</v>
      </c>
      <c r="AF47" t="s">
        <v>73</v>
      </c>
      <c r="AH47" t="s">
        <v>61</v>
      </c>
    </row>
    <row r="48" spans="1:34" x14ac:dyDescent="0.25">
      <c r="A48" t="s">
        <v>298</v>
      </c>
      <c r="B48" t="s">
        <v>299</v>
      </c>
      <c r="D48">
        <v>2023</v>
      </c>
      <c r="F48" t="s">
        <v>0</v>
      </c>
      <c r="G48" t="s">
        <v>1</v>
      </c>
      <c r="K48" t="s">
        <v>191</v>
      </c>
      <c r="L48" t="s">
        <v>300</v>
      </c>
      <c r="M48" t="s">
        <v>301</v>
      </c>
      <c r="N48" s="1" t="s">
        <v>302</v>
      </c>
      <c r="P48" s="3" t="s">
        <v>303</v>
      </c>
      <c r="Q48" s="3" t="s">
        <v>304</v>
      </c>
      <c r="R48" s="9" t="s">
        <v>60</v>
      </c>
      <c r="S48" s="9" t="s">
        <v>60</v>
      </c>
      <c r="T48" s="9" t="s">
        <v>61</v>
      </c>
      <c r="U48" s="9" t="s">
        <v>60</v>
      </c>
      <c r="V48" s="9" t="s">
        <v>60</v>
      </c>
      <c r="W48" s="9" t="s">
        <v>60</v>
      </c>
      <c r="X48" s="9" t="s">
        <v>60</v>
      </c>
      <c r="Y48" s="9" t="s">
        <v>60</v>
      </c>
      <c r="Z48" s="18" t="s">
        <v>61</v>
      </c>
      <c r="AA48" s="8" t="s">
        <v>89</v>
      </c>
      <c r="AB48">
        <f t="shared" si="3"/>
        <v>2</v>
      </c>
      <c r="AC48">
        <f t="shared" si="4"/>
        <v>3</v>
      </c>
      <c r="AD48">
        <f t="shared" si="5"/>
        <v>2</v>
      </c>
      <c r="AE48" t="s">
        <v>61</v>
      </c>
      <c r="AF48" t="s">
        <v>73</v>
      </c>
      <c r="AH48" t="s">
        <v>61</v>
      </c>
    </row>
    <row r="49" spans="1:34" x14ac:dyDescent="0.25">
      <c r="A49" t="s">
        <v>305</v>
      </c>
      <c r="B49" t="s">
        <v>306</v>
      </c>
      <c r="C49" s="17" t="s">
        <v>73</v>
      </c>
      <c r="D49">
        <v>2023</v>
      </c>
      <c r="E49" t="s">
        <v>206</v>
      </c>
      <c r="F49" t="s">
        <v>14</v>
      </c>
      <c r="G49" t="s">
        <v>0</v>
      </c>
      <c r="K49" t="s">
        <v>54</v>
      </c>
      <c r="M49" t="s">
        <v>307</v>
      </c>
      <c r="N49" s="1" t="s">
        <v>308</v>
      </c>
      <c r="P49" s="3" t="s">
        <v>309</v>
      </c>
      <c r="Q49" s="3" t="s">
        <v>782</v>
      </c>
      <c r="R49" s="9" t="s">
        <v>60</v>
      </c>
      <c r="S49" s="9" t="s">
        <v>60</v>
      </c>
      <c r="T49" s="9" t="s">
        <v>60</v>
      </c>
      <c r="U49" s="9" t="s">
        <v>60</v>
      </c>
      <c r="V49" s="9" t="s">
        <v>60</v>
      </c>
      <c r="W49" s="9" t="s">
        <v>60</v>
      </c>
      <c r="X49" s="9" t="s">
        <v>60</v>
      </c>
      <c r="Y49" s="9" t="s">
        <v>60</v>
      </c>
      <c r="Z49" s="18" t="s">
        <v>61</v>
      </c>
      <c r="AA49" s="8" t="s">
        <v>89</v>
      </c>
      <c r="AB49">
        <f t="shared" si="3"/>
        <v>3</v>
      </c>
      <c r="AC49">
        <f t="shared" si="4"/>
        <v>3</v>
      </c>
      <c r="AD49">
        <f t="shared" si="5"/>
        <v>2</v>
      </c>
      <c r="AE49" t="s">
        <v>61</v>
      </c>
      <c r="AF49" t="s">
        <v>73</v>
      </c>
      <c r="AH49" t="s">
        <v>61</v>
      </c>
    </row>
    <row r="50" spans="1:34" x14ac:dyDescent="0.25">
      <c r="A50" s="7" t="s">
        <v>310</v>
      </c>
      <c r="B50" t="s">
        <v>311</v>
      </c>
      <c r="C50" s="17">
        <v>2</v>
      </c>
      <c r="D50">
        <v>2021</v>
      </c>
      <c r="E50" t="s">
        <v>226</v>
      </c>
      <c r="F50" t="s">
        <v>4</v>
      </c>
      <c r="K50" t="s">
        <v>312</v>
      </c>
      <c r="M50" t="s">
        <v>313</v>
      </c>
      <c r="N50" t="s">
        <v>73</v>
      </c>
      <c r="O50" s="1" t="s">
        <v>314</v>
      </c>
      <c r="P50" s="3" t="s">
        <v>73</v>
      </c>
      <c r="Q50" s="20" t="s">
        <v>315</v>
      </c>
      <c r="R50" s="10" t="s">
        <v>70</v>
      </c>
      <c r="S50" s="9" t="s">
        <v>70</v>
      </c>
      <c r="T50" s="9" t="s">
        <v>60</v>
      </c>
      <c r="U50" s="9" t="s">
        <v>60</v>
      </c>
      <c r="V50" s="9" t="s">
        <v>60</v>
      </c>
      <c r="W50" s="9" t="s">
        <v>60</v>
      </c>
      <c r="X50" s="9" t="s">
        <v>61</v>
      </c>
      <c r="Y50" s="9" t="s">
        <v>61</v>
      </c>
      <c r="Z50" s="18" t="s">
        <v>61</v>
      </c>
      <c r="AA50" s="8" t="s">
        <v>98</v>
      </c>
      <c r="AB50">
        <f t="shared" si="3"/>
        <v>1</v>
      </c>
      <c r="AC50">
        <f t="shared" si="4"/>
        <v>3</v>
      </c>
      <c r="AD50">
        <f t="shared" si="5"/>
        <v>0</v>
      </c>
      <c r="AE50" t="s">
        <v>61</v>
      </c>
      <c r="AF50" t="s">
        <v>73</v>
      </c>
      <c r="AH50" t="s">
        <v>61</v>
      </c>
    </row>
    <row r="51" spans="1:34" x14ac:dyDescent="0.25">
      <c r="A51" t="s">
        <v>316</v>
      </c>
      <c r="B51" t="s">
        <v>317</v>
      </c>
      <c r="C51" s="17" t="s">
        <v>318</v>
      </c>
      <c r="D51" t="s">
        <v>73</v>
      </c>
      <c r="F51" t="s">
        <v>11</v>
      </c>
      <c r="K51" t="s">
        <v>319</v>
      </c>
      <c r="M51" t="s">
        <v>320</v>
      </c>
      <c r="N51" s="1" t="s">
        <v>321</v>
      </c>
      <c r="O51" s="1" t="s">
        <v>322</v>
      </c>
      <c r="P51" s="3" t="s">
        <v>73</v>
      </c>
      <c r="Q51" s="3" t="s">
        <v>785</v>
      </c>
      <c r="R51" s="9" t="s">
        <v>60</v>
      </c>
      <c r="S51" s="9" t="s">
        <v>61</v>
      </c>
      <c r="T51" s="9" t="s">
        <v>61</v>
      </c>
      <c r="U51" s="9" t="s">
        <v>60</v>
      </c>
      <c r="V51" s="9" t="s">
        <v>60</v>
      </c>
      <c r="W51" s="9" t="s">
        <v>60</v>
      </c>
      <c r="X51" s="9" t="s">
        <v>60</v>
      </c>
      <c r="Y51" s="9" t="s">
        <v>60</v>
      </c>
      <c r="Z51" s="18" t="s">
        <v>61</v>
      </c>
      <c r="AA51" s="8" t="s">
        <v>104</v>
      </c>
      <c r="AB51">
        <f t="shared" si="3"/>
        <v>1</v>
      </c>
      <c r="AC51">
        <f t="shared" si="4"/>
        <v>3</v>
      </c>
      <c r="AD51">
        <f t="shared" si="5"/>
        <v>2</v>
      </c>
      <c r="AE51" t="s">
        <v>61</v>
      </c>
      <c r="AF51" t="s">
        <v>73</v>
      </c>
      <c r="AH51" t="s">
        <v>61</v>
      </c>
    </row>
    <row r="52" spans="1:34" x14ac:dyDescent="0.25">
      <c r="A52" t="s">
        <v>323</v>
      </c>
      <c r="B52" t="s">
        <v>324</v>
      </c>
      <c r="C52" s="17" t="s">
        <v>325</v>
      </c>
      <c r="D52">
        <v>2019</v>
      </c>
      <c r="E52" t="s">
        <v>226</v>
      </c>
      <c r="F52" t="s">
        <v>10</v>
      </c>
      <c r="G52" t="s">
        <v>326</v>
      </c>
      <c r="K52" t="s">
        <v>54</v>
      </c>
      <c r="M52" t="s">
        <v>327</v>
      </c>
      <c r="N52" s="1" t="s">
        <v>328</v>
      </c>
      <c r="O52" s="1" t="s">
        <v>328</v>
      </c>
      <c r="P52" s="3" t="s">
        <v>329</v>
      </c>
      <c r="Q52" s="3" t="s">
        <v>764</v>
      </c>
      <c r="R52" s="9" t="s">
        <v>60</v>
      </c>
      <c r="S52" s="9" t="s">
        <v>60</v>
      </c>
      <c r="T52" s="9" t="s">
        <v>60</v>
      </c>
      <c r="U52" s="9" t="s">
        <v>60</v>
      </c>
      <c r="V52" s="9" t="s">
        <v>60</v>
      </c>
      <c r="W52" s="9" t="s">
        <v>60</v>
      </c>
      <c r="X52" s="9" t="s">
        <v>60</v>
      </c>
      <c r="Y52" s="9" t="s">
        <v>60</v>
      </c>
      <c r="Z52" s="18" t="s">
        <v>61</v>
      </c>
      <c r="AA52" s="8" t="s">
        <v>78</v>
      </c>
      <c r="AB52">
        <f t="shared" si="3"/>
        <v>3</v>
      </c>
      <c r="AC52">
        <f t="shared" si="4"/>
        <v>3</v>
      </c>
      <c r="AD52">
        <f t="shared" si="5"/>
        <v>2</v>
      </c>
      <c r="AE52" t="s">
        <v>61</v>
      </c>
      <c r="AF52" t="s">
        <v>73</v>
      </c>
      <c r="AH52" t="s">
        <v>61</v>
      </c>
    </row>
    <row r="53" spans="1:34" x14ac:dyDescent="0.25">
      <c r="A53" t="s">
        <v>330</v>
      </c>
      <c r="B53" s="6" t="s">
        <v>331</v>
      </c>
      <c r="C53" s="17">
        <v>1</v>
      </c>
      <c r="D53">
        <v>2006</v>
      </c>
      <c r="F53" t="s">
        <v>11</v>
      </c>
      <c r="K53" t="s">
        <v>332</v>
      </c>
      <c r="L53" t="s">
        <v>333</v>
      </c>
      <c r="M53" t="s">
        <v>334</v>
      </c>
      <c r="N53" t="s">
        <v>73</v>
      </c>
      <c r="O53" s="1" t="s">
        <v>335</v>
      </c>
      <c r="P53" s="3" t="s">
        <v>73</v>
      </c>
      <c r="Q53" s="3" t="s">
        <v>786</v>
      </c>
      <c r="R53" s="9" t="s">
        <v>60</v>
      </c>
      <c r="S53" s="9" t="s">
        <v>61</v>
      </c>
      <c r="T53" s="9" t="s">
        <v>61</v>
      </c>
      <c r="U53" s="9" t="s">
        <v>60</v>
      </c>
      <c r="V53" s="9" t="s">
        <v>60</v>
      </c>
      <c r="W53" s="9" t="s">
        <v>61</v>
      </c>
      <c r="X53" s="9" t="s">
        <v>60</v>
      </c>
      <c r="Y53" s="9" t="s">
        <v>60</v>
      </c>
      <c r="Z53" s="18" t="s">
        <v>61</v>
      </c>
      <c r="AA53" s="8" t="s">
        <v>89</v>
      </c>
      <c r="AB53">
        <f t="shared" si="3"/>
        <v>1</v>
      </c>
      <c r="AC53">
        <f t="shared" si="4"/>
        <v>2</v>
      </c>
      <c r="AD53">
        <f t="shared" si="5"/>
        <v>2</v>
      </c>
      <c r="AE53" t="s">
        <v>61</v>
      </c>
      <c r="AF53" t="s">
        <v>73</v>
      </c>
      <c r="AH53" t="s">
        <v>61</v>
      </c>
    </row>
    <row r="54" spans="1:34" x14ac:dyDescent="0.25">
      <c r="A54" t="s">
        <v>336</v>
      </c>
      <c r="B54" t="s">
        <v>337</v>
      </c>
      <c r="C54" s="17" t="s">
        <v>338</v>
      </c>
      <c r="D54">
        <v>2022</v>
      </c>
      <c r="E54" t="s">
        <v>108</v>
      </c>
      <c r="F54" t="s">
        <v>0</v>
      </c>
      <c r="K54" t="s">
        <v>54</v>
      </c>
      <c r="M54" t="s">
        <v>339</v>
      </c>
      <c r="N54" s="2" t="s">
        <v>340</v>
      </c>
      <c r="O54" s="1" t="s">
        <v>341</v>
      </c>
      <c r="P54" s="3" t="s">
        <v>342</v>
      </c>
      <c r="Q54" s="3" t="s">
        <v>765</v>
      </c>
      <c r="R54" s="9" t="s">
        <v>60</v>
      </c>
      <c r="S54" s="9" t="s">
        <v>60</v>
      </c>
      <c r="T54" s="9" t="s">
        <v>60</v>
      </c>
      <c r="U54" s="9" t="s">
        <v>60</v>
      </c>
      <c r="V54" s="9" t="s">
        <v>60</v>
      </c>
      <c r="W54" s="9" t="s">
        <v>60</v>
      </c>
      <c r="X54" s="9" t="s">
        <v>60</v>
      </c>
      <c r="Y54" s="9" t="s">
        <v>60</v>
      </c>
      <c r="Z54" s="18" t="s">
        <v>60</v>
      </c>
      <c r="AA54" s="8" t="s">
        <v>62</v>
      </c>
      <c r="AB54">
        <f t="shared" si="3"/>
        <v>3</v>
      </c>
      <c r="AC54">
        <f t="shared" si="4"/>
        <v>3</v>
      </c>
      <c r="AD54">
        <f t="shared" si="5"/>
        <v>3</v>
      </c>
      <c r="AE54" t="s">
        <v>60</v>
      </c>
      <c r="AF54" t="s">
        <v>180</v>
      </c>
      <c r="AH54" t="s">
        <v>61</v>
      </c>
    </row>
    <row r="55" spans="1:34" x14ac:dyDescent="0.25">
      <c r="A55" t="s">
        <v>343</v>
      </c>
      <c r="B55" t="s">
        <v>344</v>
      </c>
      <c r="C55" s="17" t="s">
        <v>345</v>
      </c>
      <c r="D55">
        <v>2022</v>
      </c>
      <c r="E55" t="s">
        <v>346</v>
      </c>
      <c r="F55" t="s">
        <v>6</v>
      </c>
      <c r="K55" t="s">
        <v>347</v>
      </c>
      <c r="M55" t="s">
        <v>348</v>
      </c>
      <c r="N55" s="1" t="s">
        <v>349</v>
      </c>
      <c r="O55" s="1" t="s">
        <v>350</v>
      </c>
      <c r="P55" s="3" t="s">
        <v>73</v>
      </c>
      <c r="Q55" s="3" t="s">
        <v>752</v>
      </c>
      <c r="R55" s="9" t="s">
        <v>60</v>
      </c>
      <c r="S55" s="9" t="s">
        <v>61</v>
      </c>
      <c r="T55" s="9" t="s">
        <v>61</v>
      </c>
      <c r="U55" s="9" t="s">
        <v>60</v>
      </c>
      <c r="V55" s="9" t="s">
        <v>60</v>
      </c>
      <c r="W55" s="9" t="s">
        <v>60</v>
      </c>
      <c r="X55" s="9" t="s">
        <v>60</v>
      </c>
      <c r="Y55" s="9" t="s">
        <v>60</v>
      </c>
      <c r="Z55" s="18" t="s">
        <v>61</v>
      </c>
      <c r="AA55" s="8" t="s">
        <v>89</v>
      </c>
      <c r="AB55">
        <f t="shared" si="3"/>
        <v>1</v>
      </c>
      <c r="AC55">
        <f t="shared" si="4"/>
        <v>3</v>
      </c>
      <c r="AD55">
        <f t="shared" si="5"/>
        <v>2</v>
      </c>
      <c r="AE55" t="s">
        <v>61</v>
      </c>
      <c r="AF55" t="s">
        <v>73</v>
      </c>
      <c r="AH55" t="s">
        <v>61</v>
      </c>
    </row>
    <row r="56" spans="1:34" x14ac:dyDescent="0.25">
      <c r="A56" t="s">
        <v>351</v>
      </c>
      <c r="B56" t="s">
        <v>352</v>
      </c>
      <c r="C56" s="17" t="s">
        <v>123</v>
      </c>
      <c r="D56">
        <v>2023</v>
      </c>
      <c r="E56" t="s">
        <v>346</v>
      </c>
      <c r="F56" t="s">
        <v>6</v>
      </c>
      <c r="K56" t="s">
        <v>54</v>
      </c>
      <c r="M56" t="s">
        <v>353</v>
      </c>
      <c r="N56" s="1" t="s">
        <v>354</v>
      </c>
      <c r="O56" s="1" t="s">
        <v>355</v>
      </c>
      <c r="P56" s="3" t="s">
        <v>133</v>
      </c>
      <c r="Q56" s="3" t="s">
        <v>788</v>
      </c>
      <c r="R56" s="9" t="s">
        <v>60</v>
      </c>
      <c r="S56" s="9" t="s">
        <v>61</v>
      </c>
      <c r="T56" s="9" t="s">
        <v>60</v>
      </c>
      <c r="U56" s="9" t="s">
        <v>60</v>
      </c>
      <c r="V56" s="9" t="s">
        <v>60</v>
      </c>
      <c r="W56" s="9" t="s">
        <v>60</v>
      </c>
      <c r="X56" s="9" t="s">
        <v>60</v>
      </c>
      <c r="Y56" s="9" t="s">
        <v>60</v>
      </c>
      <c r="Z56" s="18" t="s">
        <v>61</v>
      </c>
      <c r="AA56" s="8" t="s">
        <v>78</v>
      </c>
      <c r="AB56">
        <f t="shared" si="3"/>
        <v>2</v>
      </c>
      <c r="AC56">
        <f t="shared" si="4"/>
        <v>3</v>
      </c>
      <c r="AD56">
        <f t="shared" si="5"/>
        <v>2</v>
      </c>
      <c r="AE56" t="s">
        <v>61</v>
      </c>
      <c r="AF56" t="s">
        <v>73</v>
      </c>
      <c r="AH56" t="s">
        <v>61</v>
      </c>
    </row>
    <row r="57" spans="1:34" x14ac:dyDescent="0.25">
      <c r="A57" t="s">
        <v>656</v>
      </c>
      <c r="B57" s="6" t="s">
        <v>657</v>
      </c>
      <c r="C57" s="17" t="s">
        <v>73</v>
      </c>
      <c r="D57">
        <v>2022</v>
      </c>
      <c r="E57" t="s">
        <v>476</v>
      </c>
      <c r="F57" t="s">
        <v>5</v>
      </c>
      <c r="G57" t="s">
        <v>4</v>
      </c>
      <c r="K57" t="s">
        <v>54</v>
      </c>
      <c r="M57" t="s">
        <v>658</v>
      </c>
      <c r="N57" s="1" t="s">
        <v>73</v>
      </c>
      <c r="O57" s="1" t="s">
        <v>659</v>
      </c>
      <c r="P57" s="3" t="s">
        <v>666</v>
      </c>
      <c r="Q57" s="3" t="s">
        <v>660</v>
      </c>
      <c r="R57" s="9" t="s">
        <v>60</v>
      </c>
      <c r="S57" s="9" t="s">
        <v>60</v>
      </c>
      <c r="T57" s="9" t="s">
        <v>60</v>
      </c>
      <c r="U57" s="9" t="s">
        <v>61</v>
      </c>
      <c r="V57" s="9" t="s">
        <v>60</v>
      </c>
      <c r="W57" s="9" t="s">
        <v>61</v>
      </c>
      <c r="X57" s="9" t="s">
        <v>60</v>
      </c>
      <c r="Y57" s="9" t="s">
        <v>61</v>
      </c>
      <c r="Z57" s="18" t="s">
        <v>61</v>
      </c>
      <c r="AA57" s="8" t="s">
        <v>98</v>
      </c>
      <c r="AB57">
        <f t="shared" si="3"/>
        <v>3</v>
      </c>
      <c r="AC57">
        <f t="shared" si="4"/>
        <v>1</v>
      </c>
      <c r="AD57">
        <f t="shared" si="5"/>
        <v>1</v>
      </c>
      <c r="AE57" t="s">
        <v>61</v>
      </c>
      <c r="AF57" t="s">
        <v>73</v>
      </c>
      <c r="AH57" t="s">
        <v>61</v>
      </c>
    </row>
    <row r="58" spans="1:34" x14ac:dyDescent="0.25">
      <c r="A58" t="s">
        <v>356</v>
      </c>
      <c r="B58" t="s">
        <v>357</v>
      </c>
      <c r="C58" s="17" t="s">
        <v>358</v>
      </c>
      <c r="D58">
        <v>2020</v>
      </c>
      <c r="E58" t="s">
        <v>206</v>
      </c>
      <c r="F58" t="s">
        <v>8</v>
      </c>
      <c r="K58" t="s">
        <v>54</v>
      </c>
      <c r="M58" t="s">
        <v>359</v>
      </c>
      <c r="N58" s="1" t="s">
        <v>360</v>
      </c>
      <c r="O58" s="1" t="s">
        <v>360</v>
      </c>
      <c r="P58" s="3" t="s">
        <v>361</v>
      </c>
      <c r="Q58" s="3" t="s">
        <v>787</v>
      </c>
      <c r="R58" s="9" t="s">
        <v>60</v>
      </c>
      <c r="S58" s="9" t="s">
        <v>61</v>
      </c>
      <c r="T58" s="9" t="s">
        <v>61</v>
      </c>
      <c r="U58" s="9" t="s">
        <v>60</v>
      </c>
      <c r="V58" s="9" t="s">
        <v>60</v>
      </c>
      <c r="W58" s="9" t="s">
        <v>60</v>
      </c>
      <c r="X58" s="9" t="s">
        <v>60</v>
      </c>
      <c r="Y58" s="9" t="s">
        <v>60</v>
      </c>
      <c r="Z58" s="18" t="s">
        <v>60</v>
      </c>
      <c r="AA58" s="8" t="s">
        <v>98</v>
      </c>
      <c r="AB58">
        <f t="shared" si="3"/>
        <v>1</v>
      </c>
      <c r="AC58">
        <f t="shared" si="4"/>
        <v>3</v>
      </c>
      <c r="AD58">
        <f t="shared" si="5"/>
        <v>3</v>
      </c>
      <c r="AE58" t="s">
        <v>61</v>
      </c>
      <c r="AF58" t="s">
        <v>73</v>
      </c>
      <c r="AH58" t="s">
        <v>61</v>
      </c>
    </row>
    <row r="59" spans="1:34" x14ac:dyDescent="0.25">
      <c r="A59" s="5" t="s">
        <v>683</v>
      </c>
      <c r="B59" t="s">
        <v>684</v>
      </c>
      <c r="C59" s="17" t="s">
        <v>107</v>
      </c>
      <c r="D59">
        <v>2021</v>
      </c>
      <c r="F59" t="s">
        <v>5</v>
      </c>
      <c r="G59" t="s">
        <v>4</v>
      </c>
      <c r="K59" t="s">
        <v>54</v>
      </c>
      <c r="M59" t="s">
        <v>705</v>
      </c>
      <c r="N59" s="1" t="s">
        <v>685</v>
      </c>
      <c r="O59" s="1" t="s">
        <v>686</v>
      </c>
      <c r="P59" s="3" t="s">
        <v>133</v>
      </c>
      <c r="Q59" s="3" t="s">
        <v>789</v>
      </c>
      <c r="R59" s="9" t="s">
        <v>60</v>
      </c>
      <c r="S59" s="9" t="s">
        <v>60</v>
      </c>
      <c r="T59" s="9" t="s">
        <v>60</v>
      </c>
      <c r="U59" s="9" t="s">
        <v>60</v>
      </c>
      <c r="V59" s="9" t="s">
        <v>60</v>
      </c>
      <c r="W59" s="9" t="s">
        <v>60</v>
      </c>
      <c r="X59" s="9" t="s">
        <v>60</v>
      </c>
      <c r="Y59" s="9" t="s">
        <v>60</v>
      </c>
      <c r="Z59" s="18" t="s">
        <v>60</v>
      </c>
      <c r="AA59" s="8"/>
      <c r="AB59">
        <f t="shared" si="3"/>
        <v>3</v>
      </c>
      <c r="AC59">
        <f t="shared" si="4"/>
        <v>3</v>
      </c>
      <c r="AD59">
        <f t="shared" si="5"/>
        <v>3</v>
      </c>
      <c r="AE59" t="s">
        <v>61</v>
      </c>
      <c r="AF59" t="s">
        <v>73</v>
      </c>
      <c r="AH59" t="s">
        <v>61</v>
      </c>
    </row>
    <row r="60" spans="1:34" ht="30" x14ac:dyDescent="0.25">
      <c r="A60" s="5" t="s">
        <v>700</v>
      </c>
      <c r="B60" t="s">
        <v>701</v>
      </c>
      <c r="C60" s="17" t="s">
        <v>73</v>
      </c>
      <c r="D60">
        <v>2025</v>
      </c>
      <c r="F60" t="s">
        <v>5</v>
      </c>
      <c r="K60" t="s">
        <v>73</v>
      </c>
      <c r="M60" t="s">
        <v>702</v>
      </c>
      <c r="N60" s="16" t="s">
        <v>73</v>
      </c>
      <c r="O60" s="1" t="s">
        <v>706</v>
      </c>
      <c r="P60" s="3" t="s">
        <v>703</v>
      </c>
      <c r="Q60" s="3" t="s">
        <v>704</v>
      </c>
      <c r="R60" s="9" t="s">
        <v>60</v>
      </c>
      <c r="S60" s="9" t="s">
        <v>60</v>
      </c>
      <c r="T60" s="9" t="s">
        <v>61</v>
      </c>
      <c r="U60" s="9" t="s">
        <v>60</v>
      </c>
      <c r="V60" s="9" t="s">
        <v>61</v>
      </c>
      <c r="W60" s="9" t="s">
        <v>61</v>
      </c>
      <c r="X60" s="9" t="s">
        <v>60</v>
      </c>
      <c r="Y60" s="9" t="s">
        <v>61</v>
      </c>
      <c r="Z60" s="18" t="s">
        <v>61</v>
      </c>
      <c r="AA60" s="8"/>
      <c r="AB60">
        <f t="shared" si="3"/>
        <v>2</v>
      </c>
      <c r="AC60">
        <f t="shared" si="4"/>
        <v>1</v>
      </c>
      <c r="AD60">
        <f t="shared" si="5"/>
        <v>1</v>
      </c>
      <c r="AE60" t="s">
        <v>61</v>
      </c>
      <c r="AF60" t="s">
        <v>73</v>
      </c>
      <c r="AH60" t="s">
        <v>61</v>
      </c>
    </row>
    <row r="61" spans="1:34" x14ac:dyDescent="0.25">
      <c r="A61" t="s">
        <v>362</v>
      </c>
      <c r="B61" t="s">
        <v>363</v>
      </c>
      <c r="C61" s="17" t="s">
        <v>73</v>
      </c>
      <c r="D61">
        <v>2021</v>
      </c>
      <c r="E61" t="s">
        <v>364</v>
      </c>
      <c r="F61" t="s">
        <v>1</v>
      </c>
      <c r="G61" t="s">
        <v>15</v>
      </c>
      <c r="K61" t="s">
        <v>54</v>
      </c>
      <c r="L61" t="s">
        <v>365</v>
      </c>
      <c r="M61" t="s">
        <v>815</v>
      </c>
      <c r="N61" s="1" t="s">
        <v>366</v>
      </c>
      <c r="O61" s="1" t="s">
        <v>367</v>
      </c>
      <c r="P61" s="3" t="s">
        <v>368</v>
      </c>
      <c r="Q61" s="3" t="s">
        <v>751</v>
      </c>
      <c r="R61" s="9" t="s">
        <v>60</v>
      </c>
      <c r="S61" s="9" t="s">
        <v>60</v>
      </c>
      <c r="T61" s="9" t="s">
        <v>60</v>
      </c>
      <c r="U61" s="9" t="s">
        <v>61</v>
      </c>
      <c r="V61" s="9" t="s">
        <v>60</v>
      </c>
      <c r="W61" s="9" t="s">
        <v>60</v>
      </c>
      <c r="X61" s="9" t="s">
        <v>60</v>
      </c>
      <c r="Y61" s="9" t="s">
        <v>60</v>
      </c>
      <c r="Z61" s="9" t="s">
        <v>61</v>
      </c>
      <c r="AA61" s="8" t="s">
        <v>78</v>
      </c>
      <c r="AB61">
        <f t="shared" si="3"/>
        <v>3</v>
      </c>
      <c r="AC61">
        <f t="shared" si="4"/>
        <v>2</v>
      </c>
      <c r="AD61">
        <f t="shared" si="5"/>
        <v>2</v>
      </c>
      <c r="AE61" t="s">
        <v>61</v>
      </c>
      <c r="AF61" t="s">
        <v>73</v>
      </c>
      <c r="AG61">
        <v>0</v>
      </c>
      <c r="AH61" t="s">
        <v>60</v>
      </c>
    </row>
    <row r="62" spans="1:34" x14ac:dyDescent="0.25">
      <c r="A62" t="s">
        <v>369</v>
      </c>
      <c r="B62" t="s">
        <v>370</v>
      </c>
      <c r="C62" s="17">
        <v>0.2</v>
      </c>
      <c r="D62">
        <v>2023</v>
      </c>
      <c r="E62" t="s">
        <v>93</v>
      </c>
      <c r="F62" t="s">
        <v>9</v>
      </c>
      <c r="K62" t="s">
        <v>54</v>
      </c>
      <c r="L62" t="s">
        <v>371</v>
      </c>
      <c r="N62" s="1" t="s">
        <v>372</v>
      </c>
      <c r="O62" s="1" t="s">
        <v>373</v>
      </c>
      <c r="P62" s="3" t="s">
        <v>668</v>
      </c>
      <c r="Q62" s="3" t="s">
        <v>790</v>
      </c>
      <c r="R62" s="9" t="s">
        <v>60</v>
      </c>
      <c r="S62" s="9" t="s">
        <v>60</v>
      </c>
      <c r="T62" s="9" t="s">
        <v>60</v>
      </c>
      <c r="U62" s="9" t="s">
        <v>60</v>
      </c>
      <c r="V62" s="9" t="s">
        <v>60</v>
      </c>
      <c r="W62" s="9" t="s">
        <v>60</v>
      </c>
      <c r="X62" s="9" t="s">
        <v>60</v>
      </c>
      <c r="Y62" s="9" t="s">
        <v>60</v>
      </c>
      <c r="Z62" s="18" t="s">
        <v>61</v>
      </c>
      <c r="AA62" s="8" t="s">
        <v>89</v>
      </c>
      <c r="AB62">
        <f t="shared" si="3"/>
        <v>3</v>
      </c>
      <c r="AC62">
        <f t="shared" si="4"/>
        <v>3</v>
      </c>
      <c r="AD62">
        <f t="shared" si="5"/>
        <v>2</v>
      </c>
      <c r="AE62" t="s">
        <v>61</v>
      </c>
      <c r="AF62" t="s">
        <v>73</v>
      </c>
      <c r="AH62" t="s">
        <v>61</v>
      </c>
    </row>
    <row r="63" spans="1:34" x14ac:dyDescent="0.25">
      <c r="A63" t="s">
        <v>374</v>
      </c>
      <c r="B63" t="s">
        <v>666</v>
      </c>
      <c r="C63" s="17" t="s">
        <v>73</v>
      </c>
      <c r="D63">
        <v>2019</v>
      </c>
      <c r="E63" t="s">
        <v>375</v>
      </c>
      <c r="F63" t="s">
        <v>0</v>
      </c>
      <c r="G63" t="s">
        <v>1</v>
      </c>
      <c r="I63" t="s">
        <v>170</v>
      </c>
      <c r="J63" t="s">
        <v>376</v>
      </c>
      <c r="K63" t="s">
        <v>332</v>
      </c>
      <c r="M63" t="s">
        <v>377</v>
      </c>
      <c r="N63" s="1" t="s">
        <v>378</v>
      </c>
      <c r="O63" s="1" t="s">
        <v>379</v>
      </c>
      <c r="P63" s="3" t="s">
        <v>73</v>
      </c>
      <c r="Q63" s="3" t="s">
        <v>380</v>
      </c>
      <c r="R63" s="9" t="s">
        <v>60</v>
      </c>
      <c r="S63" s="9" t="s">
        <v>61</v>
      </c>
      <c r="T63" s="9" t="s">
        <v>61</v>
      </c>
      <c r="U63" s="9" t="s">
        <v>60</v>
      </c>
      <c r="V63" s="9" t="s">
        <v>60</v>
      </c>
      <c r="W63" s="9" t="s">
        <v>60</v>
      </c>
      <c r="X63" s="9" t="s">
        <v>60</v>
      </c>
      <c r="Y63" s="9" t="s">
        <v>61</v>
      </c>
      <c r="Z63" s="18" t="s">
        <v>60</v>
      </c>
      <c r="AA63" s="8" t="s">
        <v>98</v>
      </c>
      <c r="AB63">
        <f t="shared" si="3"/>
        <v>1</v>
      </c>
      <c r="AC63">
        <f t="shared" si="4"/>
        <v>3</v>
      </c>
      <c r="AD63">
        <f t="shared" si="5"/>
        <v>2</v>
      </c>
      <c r="AE63" t="s">
        <v>61</v>
      </c>
      <c r="AF63" t="s">
        <v>73</v>
      </c>
      <c r="AH63" t="s">
        <v>61</v>
      </c>
    </row>
    <row r="64" spans="1:34" x14ac:dyDescent="0.25">
      <c r="A64" t="s">
        <v>381</v>
      </c>
      <c r="B64" t="s">
        <v>382</v>
      </c>
      <c r="C64" s="17">
        <v>0.1</v>
      </c>
      <c r="D64">
        <v>2024</v>
      </c>
      <c r="E64" t="s">
        <v>74</v>
      </c>
      <c r="F64" t="s">
        <v>1</v>
      </c>
      <c r="K64" t="s">
        <v>67</v>
      </c>
      <c r="N64" s="1" t="s">
        <v>383</v>
      </c>
      <c r="O64" s="1" t="s">
        <v>384</v>
      </c>
      <c r="P64" s="3" t="s">
        <v>73</v>
      </c>
      <c r="Q64" s="3" t="s">
        <v>791</v>
      </c>
      <c r="R64" s="9" t="s">
        <v>60</v>
      </c>
      <c r="S64" s="9" t="s">
        <v>61</v>
      </c>
      <c r="T64" s="9" t="s">
        <v>61</v>
      </c>
      <c r="U64" s="9" t="s">
        <v>60</v>
      </c>
      <c r="V64" s="9" t="s">
        <v>60</v>
      </c>
      <c r="W64" s="9" t="s">
        <v>60</v>
      </c>
      <c r="X64" s="9" t="s">
        <v>60</v>
      </c>
      <c r="Y64" s="9" t="s">
        <v>60</v>
      </c>
      <c r="Z64" s="18" t="s">
        <v>61</v>
      </c>
      <c r="AA64" s="8" t="s">
        <v>104</v>
      </c>
      <c r="AB64">
        <f t="shared" si="3"/>
        <v>1</v>
      </c>
      <c r="AC64">
        <f t="shared" si="4"/>
        <v>3</v>
      </c>
      <c r="AD64">
        <f t="shared" si="5"/>
        <v>2</v>
      </c>
      <c r="AE64" t="s">
        <v>61</v>
      </c>
      <c r="AF64" t="s">
        <v>73</v>
      </c>
      <c r="AH64" t="s">
        <v>61</v>
      </c>
    </row>
    <row r="65" spans="1:34" x14ac:dyDescent="0.25">
      <c r="A65" t="s">
        <v>385</v>
      </c>
      <c r="B65" t="s">
        <v>386</v>
      </c>
      <c r="C65" s="17" t="s">
        <v>387</v>
      </c>
      <c r="D65">
        <v>2020</v>
      </c>
      <c r="E65" t="s">
        <v>53</v>
      </c>
      <c r="F65" t="s">
        <v>9</v>
      </c>
      <c r="K65" t="s">
        <v>54</v>
      </c>
      <c r="M65" t="s">
        <v>388</v>
      </c>
      <c r="N65" s="2" t="s">
        <v>389</v>
      </c>
      <c r="O65" s="1" t="s">
        <v>57</v>
      </c>
      <c r="P65" s="3" t="s">
        <v>73</v>
      </c>
      <c r="Q65" s="3" t="s">
        <v>752</v>
      </c>
      <c r="R65" s="9" t="s">
        <v>60</v>
      </c>
      <c r="S65" s="9" t="s">
        <v>60</v>
      </c>
      <c r="T65" s="9" t="s">
        <v>61</v>
      </c>
      <c r="U65" s="9" t="s">
        <v>60</v>
      </c>
      <c r="V65" s="9" t="s">
        <v>60</v>
      </c>
      <c r="W65" s="9" t="s">
        <v>60</v>
      </c>
      <c r="X65" s="9" t="s">
        <v>60</v>
      </c>
      <c r="Y65" s="9" t="s">
        <v>60</v>
      </c>
      <c r="Z65" s="18" t="s">
        <v>60</v>
      </c>
      <c r="AA65" s="8" t="s">
        <v>62</v>
      </c>
      <c r="AB65">
        <f t="shared" si="3"/>
        <v>2</v>
      </c>
      <c r="AC65">
        <f t="shared" si="4"/>
        <v>3</v>
      </c>
      <c r="AD65">
        <f t="shared" si="5"/>
        <v>3</v>
      </c>
      <c r="AE65" t="s">
        <v>60</v>
      </c>
      <c r="AF65" t="s">
        <v>64</v>
      </c>
      <c r="AG65">
        <v>15</v>
      </c>
      <c r="AH65" t="s">
        <v>61</v>
      </c>
    </row>
    <row r="66" spans="1:34" x14ac:dyDescent="0.25">
      <c r="A66" t="s">
        <v>390</v>
      </c>
      <c r="B66" t="s">
        <v>297</v>
      </c>
      <c r="D66">
        <v>2024</v>
      </c>
      <c r="F66" t="s">
        <v>14</v>
      </c>
      <c r="G66" t="s">
        <v>16</v>
      </c>
      <c r="K66" t="s">
        <v>312</v>
      </c>
      <c r="M66" t="s">
        <v>391</v>
      </c>
      <c r="N66" s="1" t="s">
        <v>392</v>
      </c>
      <c r="O66" s="1" t="s">
        <v>393</v>
      </c>
      <c r="P66" s="3" t="s">
        <v>394</v>
      </c>
      <c r="Q66" s="3" t="s">
        <v>792</v>
      </c>
      <c r="R66" s="9" t="s">
        <v>60</v>
      </c>
      <c r="S66" s="9" t="s">
        <v>60</v>
      </c>
      <c r="T66" s="9" t="s">
        <v>61</v>
      </c>
      <c r="U66" s="9" t="s">
        <v>60</v>
      </c>
      <c r="V66" s="9" t="s">
        <v>60</v>
      </c>
      <c r="W66" s="9" t="s">
        <v>60</v>
      </c>
      <c r="X66" s="9" t="s">
        <v>60</v>
      </c>
      <c r="Y66" s="9" t="s">
        <v>60</v>
      </c>
      <c r="Z66" s="18" t="s">
        <v>61</v>
      </c>
      <c r="AA66" s="8" t="s">
        <v>104</v>
      </c>
      <c r="AB66">
        <f t="shared" si="3"/>
        <v>2</v>
      </c>
      <c r="AC66">
        <f t="shared" si="4"/>
        <v>3</v>
      </c>
      <c r="AD66">
        <f t="shared" si="5"/>
        <v>2</v>
      </c>
      <c r="AE66" t="s">
        <v>61</v>
      </c>
      <c r="AF66" t="s">
        <v>73</v>
      </c>
      <c r="AH66" t="s">
        <v>61</v>
      </c>
    </row>
    <row r="67" spans="1:34" x14ac:dyDescent="0.25">
      <c r="A67" t="s">
        <v>395</v>
      </c>
      <c r="B67" t="s">
        <v>396</v>
      </c>
      <c r="C67" s="17" t="s">
        <v>397</v>
      </c>
      <c r="D67">
        <v>2022</v>
      </c>
      <c r="E67" t="s">
        <v>129</v>
      </c>
      <c r="F67" t="s">
        <v>10</v>
      </c>
      <c r="K67" t="s">
        <v>54</v>
      </c>
      <c r="M67" t="s">
        <v>398</v>
      </c>
      <c r="N67" s="2" t="s">
        <v>399</v>
      </c>
      <c r="O67" s="1" t="s">
        <v>399</v>
      </c>
      <c r="P67" s="3" t="s">
        <v>400</v>
      </c>
      <c r="Q67" s="3" t="s">
        <v>766</v>
      </c>
      <c r="R67" s="9" t="s">
        <v>60</v>
      </c>
      <c r="S67" s="9" t="s">
        <v>60</v>
      </c>
      <c r="T67" s="9" t="s">
        <v>61</v>
      </c>
      <c r="U67" s="9" t="s">
        <v>60</v>
      </c>
      <c r="V67" s="9" t="s">
        <v>60</v>
      </c>
      <c r="W67" s="9" t="s">
        <v>60</v>
      </c>
      <c r="X67" s="9" t="s">
        <v>60</v>
      </c>
      <c r="Y67" s="9" t="s">
        <v>60</v>
      </c>
      <c r="Z67" s="18" t="s">
        <v>60</v>
      </c>
      <c r="AA67" s="8" t="s">
        <v>62</v>
      </c>
      <c r="AB67">
        <f t="shared" ref="AB67:AB98" si="6">COUNTIF(R67:T67, "yes")</f>
        <v>2</v>
      </c>
      <c r="AC67">
        <f t="shared" ref="AC67:AC98" si="7">COUNTIF(U67:W67, "yes")</f>
        <v>3</v>
      </c>
      <c r="AD67">
        <f t="shared" ref="AD67:AD98" si="8">COUNTIF(X67:Z67, "yes")</f>
        <v>3</v>
      </c>
      <c r="AE67" t="s">
        <v>60</v>
      </c>
      <c r="AF67" t="s">
        <v>180</v>
      </c>
      <c r="AH67" t="s">
        <v>61</v>
      </c>
    </row>
    <row r="68" spans="1:34" ht="30" x14ac:dyDescent="0.25">
      <c r="A68" t="s">
        <v>401</v>
      </c>
      <c r="B68" t="s">
        <v>402</v>
      </c>
      <c r="E68" t="s">
        <v>93</v>
      </c>
      <c r="F68" t="s">
        <v>5</v>
      </c>
      <c r="N68" s="1" t="s">
        <v>403</v>
      </c>
      <c r="P68" s="3" t="s">
        <v>404</v>
      </c>
      <c r="Q68" s="3" t="s">
        <v>793</v>
      </c>
      <c r="R68" s="9" t="s">
        <v>60</v>
      </c>
      <c r="S68" s="9" t="s">
        <v>60</v>
      </c>
      <c r="T68" s="9" t="s">
        <v>61</v>
      </c>
      <c r="U68" s="9" t="s">
        <v>60</v>
      </c>
      <c r="V68" s="9" t="s">
        <v>60</v>
      </c>
      <c r="W68" s="9" t="s">
        <v>60</v>
      </c>
      <c r="X68" s="9" t="s">
        <v>60</v>
      </c>
      <c r="Y68" s="9" t="s">
        <v>60</v>
      </c>
      <c r="Z68" s="18" t="s">
        <v>60</v>
      </c>
      <c r="AA68" s="8" t="s">
        <v>98</v>
      </c>
      <c r="AB68">
        <f t="shared" si="6"/>
        <v>2</v>
      </c>
      <c r="AC68">
        <f t="shared" si="7"/>
        <v>3</v>
      </c>
      <c r="AD68">
        <f t="shared" si="8"/>
        <v>3</v>
      </c>
      <c r="AE68" t="s">
        <v>61</v>
      </c>
      <c r="AF68" t="s">
        <v>73</v>
      </c>
      <c r="AH68" t="s">
        <v>61</v>
      </c>
    </row>
    <row r="69" spans="1:34" x14ac:dyDescent="0.25">
      <c r="A69" t="s">
        <v>669</v>
      </c>
      <c r="B69" t="s">
        <v>670</v>
      </c>
      <c r="C69" s="17">
        <v>2</v>
      </c>
      <c r="D69">
        <v>2016</v>
      </c>
      <c r="F69" t="s">
        <v>12</v>
      </c>
      <c r="K69" t="s">
        <v>816</v>
      </c>
      <c r="M69" t="s">
        <v>817</v>
      </c>
      <c r="N69" s="1" t="s">
        <v>819</v>
      </c>
      <c r="O69" s="1" t="s">
        <v>818</v>
      </c>
      <c r="Q69" s="20"/>
      <c r="Z69" s="18"/>
      <c r="AA69" s="8"/>
      <c r="AB69">
        <f t="shared" si="6"/>
        <v>0</v>
      </c>
      <c r="AC69">
        <f t="shared" si="7"/>
        <v>0</v>
      </c>
      <c r="AD69">
        <f t="shared" si="8"/>
        <v>0</v>
      </c>
      <c r="AH69" t="s">
        <v>61</v>
      </c>
    </row>
    <row r="70" spans="1:34" x14ac:dyDescent="0.25">
      <c r="A70" t="s">
        <v>405</v>
      </c>
      <c r="B70" t="s">
        <v>406</v>
      </c>
      <c r="C70" s="17" t="s">
        <v>163</v>
      </c>
      <c r="D70">
        <v>2020</v>
      </c>
      <c r="E70" t="s">
        <v>53</v>
      </c>
      <c r="F70" t="s">
        <v>4</v>
      </c>
      <c r="K70" t="s">
        <v>54</v>
      </c>
      <c r="M70" t="s">
        <v>407</v>
      </c>
      <c r="N70" s="2" t="s">
        <v>408</v>
      </c>
      <c r="O70" s="1" t="s">
        <v>57</v>
      </c>
      <c r="P70" s="3" t="s">
        <v>409</v>
      </c>
      <c r="Q70" s="3" t="s">
        <v>754</v>
      </c>
      <c r="R70" s="9" t="s">
        <v>60</v>
      </c>
      <c r="S70" s="9" t="s">
        <v>60</v>
      </c>
      <c r="T70" s="9" t="s">
        <v>61</v>
      </c>
      <c r="U70" s="9" t="s">
        <v>60</v>
      </c>
      <c r="V70" s="9" t="s">
        <v>60</v>
      </c>
      <c r="W70" s="9" t="s">
        <v>60</v>
      </c>
      <c r="X70" s="9" t="s">
        <v>60</v>
      </c>
      <c r="Y70" s="9" t="s">
        <v>60</v>
      </c>
      <c r="Z70" s="18" t="s">
        <v>60</v>
      </c>
      <c r="AA70" s="8" t="s">
        <v>62</v>
      </c>
      <c r="AB70">
        <f t="shared" si="6"/>
        <v>2</v>
      </c>
      <c r="AC70">
        <f t="shared" si="7"/>
        <v>3</v>
      </c>
      <c r="AD70">
        <f t="shared" si="8"/>
        <v>3</v>
      </c>
      <c r="AE70" t="s">
        <v>60</v>
      </c>
      <c r="AF70" t="s">
        <v>64</v>
      </c>
      <c r="AH70" t="s">
        <v>61</v>
      </c>
    </row>
    <row r="71" spans="1:34" x14ac:dyDescent="0.25">
      <c r="A71" t="s">
        <v>410</v>
      </c>
      <c r="B71" t="s">
        <v>411</v>
      </c>
      <c r="C71" s="17">
        <v>1.1000000000000001</v>
      </c>
      <c r="D71">
        <v>2020</v>
      </c>
      <c r="E71" t="s">
        <v>412</v>
      </c>
      <c r="F71" t="s">
        <v>4</v>
      </c>
      <c r="G71" t="s">
        <v>412</v>
      </c>
      <c r="K71" t="s">
        <v>101</v>
      </c>
      <c r="M71" t="s">
        <v>413</v>
      </c>
      <c r="N71" t="s">
        <v>73</v>
      </c>
      <c r="O71" s="1" t="s">
        <v>103</v>
      </c>
      <c r="P71" s="3" t="s">
        <v>73</v>
      </c>
      <c r="Q71" s="3" t="s">
        <v>752</v>
      </c>
      <c r="R71" s="9" t="s">
        <v>60</v>
      </c>
      <c r="S71" s="9" t="s">
        <v>61</v>
      </c>
      <c r="T71" s="9" t="s">
        <v>61</v>
      </c>
      <c r="U71" s="9" t="s">
        <v>61</v>
      </c>
      <c r="V71" s="9" t="s">
        <v>60</v>
      </c>
      <c r="W71" s="9" t="s">
        <v>61</v>
      </c>
      <c r="X71" s="9" t="s">
        <v>61</v>
      </c>
      <c r="Y71" s="9" t="s">
        <v>61</v>
      </c>
      <c r="Z71" s="18" t="s">
        <v>61</v>
      </c>
      <c r="AA71" s="8" t="s">
        <v>78</v>
      </c>
      <c r="AB71">
        <f t="shared" si="6"/>
        <v>1</v>
      </c>
      <c r="AC71">
        <f t="shared" si="7"/>
        <v>1</v>
      </c>
      <c r="AD71">
        <f t="shared" si="8"/>
        <v>0</v>
      </c>
      <c r="AE71" t="s">
        <v>61</v>
      </c>
      <c r="AF71" t="s">
        <v>73</v>
      </c>
      <c r="AH71" t="s">
        <v>61</v>
      </c>
    </row>
    <row r="72" spans="1:34" x14ac:dyDescent="0.25">
      <c r="A72" t="s">
        <v>414</v>
      </c>
      <c r="B72" t="s">
        <v>303</v>
      </c>
      <c r="C72" s="17">
        <v>0.2</v>
      </c>
      <c r="D72">
        <v>2023</v>
      </c>
      <c r="E72" t="s">
        <v>93</v>
      </c>
      <c r="F72" t="s">
        <v>9</v>
      </c>
      <c r="K72" t="s">
        <v>54</v>
      </c>
      <c r="L72" t="s">
        <v>415</v>
      </c>
      <c r="N72" s="1" t="s">
        <v>416</v>
      </c>
      <c r="O72" s="1" t="s">
        <v>417</v>
      </c>
      <c r="P72" s="3" t="s">
        <v>73</v>
      </c>
      <c r="Q72" s="3" t="s">
        <v>794</v>
      </c>
      <c r="R72" s="9" t="s">
        <v>60</v>
      </c>
      <c r="S72" s="9" t="s">
        <v>60</v>
      </c>
      <c r="T72" s="9" t="s">
        <v>60</v>
      </c>
      <c r="U72" s="9" t="s">
        <v>60</v>
      </c>
      <c r="V72" s="9" t="s">
        <v>60</v>
      </c>
      <c r="W72" s="9" t="s">
        <v>60</v>
      </c>
      <c r="X72" s="9" t="s">
        <v>60</v>
      </c>
      <c r="Y72" s="9" t="s">
        <v>60</v>
      </c>
      <c r="Z72" s="18" t="s">
        <v>60</v>
      </c>
      <c r="AA72" s="8" t="s">
        <v>98</v>
      </c>
      <c r="AB72">
        <f t="shared" si="6"/>
        <v>3</v>
      </c>
      <c r="AC72">
        <f t="shared" si="7"/>
        <v>3</v>
      </c>
      <c r="AD72">
        <f t="shared" si="8"/>
        <v>3</v>
      </c>
      <c r="AE72" t="s">
        <v>61</v>
      </c>
      <c r="AF72" t="s">
        <v>73</v>
      </c>
      <c r="AH72" t="s">
        <v>61</v>
      </c>
    </row>
    <row r="73" spans="1:34" x14ac:dyDescent="0.25">
      <c r="A73" t="s">
        <v>418</v>
      </c>
      <c r="B73" t="s">
        <v>419</v>
      </c>
      <c r="C73" s="17" t="s">
        <v>107</v>
      </c>
      <c r="D73">
        <v>2020</v>
      </c>
      <c r="E73" t="s">
        <v>11</v>
      </c>
      <c r="F73" t="s">
        <v>11</v>
      </c>
      <c r="K73" t="s">
        <v>54</v>
      </c>
      <c r="M73" t="s">
        <v>420</v>
      </c>
      <c r="N73" s="2" t="s">
        <v>421</v>
      </c>
      <c r="O73" s="1" t="s">
        <v>57</v>
      </c>
      <c r="P73" s="3" t="s">
        <v>422</v>
      </c>
      <c r="Q73" s="3" t="s">
        <v>423</v>
      </c>
      <c r="R73" s="9" t="s">
        <v>60</v>
      </c>
      <c r="S73" s="9" t="s">
        <v>60</v>
      </c>
      <c r="T73" s="9" t="s">
        <v>61</v>
      </c>
      <c r="U73" s="9" t="s">
        <v>60</v>
      </c>
      <c r="V73" s="9" t="s">
        <v>60</v>
      </c>
      <c r="W73" s="9" t="s">
        <v>60</v>
      </c>
      <c r="X73" s="9" t="s">
        <v>60</v>
      </c>
      <c r="Y73" s="9" t="s">
        <v>60</v>
      </c>
      <c r="Z73" s="18" t="s">
        <v>61</v>
      </c>
      <c r="AA73" s="8" t="s">
        <v>62</v>
      </c>
      <c r="AB73">
        <f t="shared" si="6"/>
        <v>2</v>
      </c>
      <c r="AC73">
        <f t="shared" si="7"/>
        <v>3</v>
      </c>
      <c r="AD73">
        <f t="shared" si="8"/>
        <v>2</v>
      </c>
      <c r="AE73" t="s">
        <v>60</v>
      </c>
      <c r="AF73" t="s">
        <v>64</v>
      </c>
      <c r="AH73" t="s">
        <v>61</v>
      </c>
    </row>
    <row r="74" spans="1:34" x14ac:dyDescent="0.25">
      <c r="A74" t="s">
        <v>424</v>
      </c>
      <c r="B74" t="s">
        <v>425</v>
      </c>
      <c r="C74" s="17">
        <v>1.1000000000000001</v>
      </c>
      <c r="D74">
        <v>2019</v>
      </c>
      <c r="E74" t="s">
        <v>11</v>
      </c>
      <c r="F74" t="s">
        <v>11</v>
      </c>
      <c r="K74" t="s">
        <v>426</v>
      </c>
      <c r="M74" t="s">
        <v>427</v>
      </c>
      <c r="N74" s="1" t="s">
        <v>428</v>
      </c>
      <c r="O74" s="1" t="s">
        <v>428</v>
      </c>
      <c r="P74" s="3" t="s">
        <v>317</v>
      </c>
      <c r="Q74" s="3" t="s">
        <v>795</v>
      </c>
      <c r="R74" s="9" t="s">
        <v>60</v>
      </c>
      <c r="S74" s="9" t="s">
        <v>61</v>
      </c>
      <c r="T74" s="9" t="s">
        <v>61</v>
      </c>
      <c r="U74" s="9" t="s">
        <v>60</v>
      </c>
      <c r="V74" s="9" t="s">
        <v>60</v>
      </c>
      <c r="W74" s="9" t="s">
        <v>60</v>
      </c>
      <c r="X74" s="9" t="s">
        <v>60</v>
      </c>
      <c r="Y74" s="9" t="s">
        <v>61</v>
      </c>
      <c r="Z74" s="18" t="s">
        <v>61</v>
      </c>
      <c r="AA74" s="8" t="s">
        <v>98</v>
      </c>
      <c r="AB74">
        <f t="shared" si="6"/>
        <v>1</v>
      </c>
      <c r="AC74">
        <f t="shared" si="7"/>
        <v>3</v>
      </c>
      <c r="AD74">
        <f t="shared" si="8"/>
        <v>1</v>
      </c>
      <c r="AE74" t="s">
        <v>61</v>
      </c>
      <c r="AF74" t="s">
        <v>73</v>
      </c>
      <c r="AH74" t="s">
        <v>61</v>
      </c>
    </row>
    <row r="75" spans="1:34" x14ac:dyDescent="0.25">
      <c r="A75" t="s">
        <v>429</v>
      </c>
      <c r="B75" t="s">
        <v>430</v>
      </c>
      <c r="C75" s="17" t="s">
        <v>107</v>
      </c>
      <c r="D75">
        <v>2019</v>
      </c>
      <c r="E75" t="s">
        <v>206</v>
      </c>
      <c r="F75" t="s">
        <v>0</v>
      </c>
      <c r="G75" t="s">
        <v>10</v>
      </c>
      <c r="K75" t="s">
        <v>67</v>
      </c>
      <c r="M75" t="s">
        <v>431</v>
      </c>
      <c r="N75" s="1" t="s">
        <v>432</v>
      </c>
      <c r="P75" s="3" t="s">
        <v>667</v>
      </c>
      <c r="Q75" s="3" t="s">
        <v>783</v>
      </c>
      <c r="R75" s="9" t="s">
        <v>60</v>
      </c>
      <c r="S75" s="9" t="s">
        <v>60</v>
      </c>
      <c r="T75" s="9" t="s">
        <v>61</v>
      </c>
      <c r="U75" s="9" t="s">
        <v>60</v>
      </c>
      <c r="V75" s="9" t="s">
        <v>60</v>
      </c>
      <c r="W75" s="9" t="s">
        <v>60</v>
      </c>
      <c r="X75" s="9" t="s">
        <v>60</v>
      </c>
      <c r="Y75" s="9" t="s">
        <v>60</v>
      </c>
      <c r="Z75" s="18" t="s">
        <v>61</v>
      </c>
      <c r="AA75" s="8" t="s">
        <v>104</v>
      </c>
      <c r="AB75">
        <f t="shared" si="6"/>
        <v>2</v>
      </c>
      <c r="AC75">
        <f t="shared" si="7"/>
        <v>3</v>
      </c>
      <c r="AD75">
        <f t="shared" si="8"/>
        <v>2</v>
      </c>
      <c r="AE75" t="s">
        <v>61</v>
      </c>
      <c r="AF75" t="s">
        <v>73</v>
      </c>
      <c r="AH75" t="s">
        <v>61</v>
      </c>
    </row>
    <row r="76" spans="1:34" x14ac:dyDescent="0.25">
      <c r="A76" t="s">
        <v>433</v>
      </c>
      <c r="B76" t="s">
        <v>434</v>
      </c>
      <c r="C76" s="17" t="s">
        <v>73</v>
      </c>
      <c r="D76">
        <v>2024</v>
      </c>
      <c r="E76" t="s">
        <v>2</v>
      </c>
      <c r="F76" t="s">
        <v>2</v>
      </c>
      <c r="K76" t="s">
        <v>426</v>
      </c>
      <c r="M76" t="s">
        <v>435</v>
      </c>
      <c r="N76" t="s">
        <v>73</v>
      </c>
      <c r="O76" s="1" t="s">
        <v>436</v>
      </c>
      <c r="P76" s="3" t="s">
        <v>437</v>
      </c>
      <c r="Q76" s="3" t="s">
        <v>438</v>
      </c>
      <c r="R76" s="9" t="s">
        <v>60</v>
      </c>
      <c r="S76" s="9" t="s">
        <v>60</v>
      </c>
      <c r="T76" s="9" t="s">
        <v>61</v>
      </c>
      <c r="U76" s="9" t="s">
        <v>60</v>
      </c>
      <c r="V76" s="9" t="s">
        <v>61</v>
      </c>
      <c r="W76" s="9" t="s">
        <v>61</v>
      </c>
      <c r="X76" s="9" t="s">
        <v>60</v>
      </c>
      <c r="Y76" s="9" t="s">
        <v>61</v>
      </c>
      <c r="Z76" s="18" t="s">
        <v>61</v>
      </c>
      <c r="AA76" s="8" t="s">
        <v>78</v>
      </c>
      <c r="AB76">
        <f t="shared" si="6"/>
        <v>2</v>
      </c>
      <c r="AC76">
        <f t="shared" si="7"/>
        <v>1</v>
      </c>
      <c r="AD76">
        <f t="shared" si="8"/>
        <v>1</v>
      </c>
      <c r="AE76" t="s">
        <v>61</v>
      </c>
      <c r="AF76" t="s">
        <v>73</v>
      </c>
      <c r="AH76" t="s">
        <v>61</v>
      </c>
    </row>
    <row r="77" spans="1:34" x14ac:dyDescent="0.25">
      <c r="A77" t="s">
        <v>722</v>
      </c>
      <c r="B77" t="s">
        <v>723</v>
      </c>
      <c r="C77" s="17" t="s">
        <v>73</v>
      </c>
      <c r="D77">
        <v>2022</v>
      </c>
      <c r="F77" t="s">
        <v>19</v>
      </c>
      <c r="G77" t="s">
        <v>9</v>
      </c>
      <c r="K77" t="s">
        <v>73</v>
      </c>
      <c r="L77" t="s">
        <v>728</v>
      </c>
      <c r="M77" t="s">
        <v>730</v>
      </c>
      <c r="N77" s="1" t="s">
        <v>726</v>
      </c>
      <c r="O77" s="1" t="s">
        <v>727</v>
      </c>
      <c r="P77" s="3" t="s">
        <v>73</v>
      </c>
      <c r="Q77" s="3" t="s">
        <v>729</v>
      </c>
      <c r="R77" s="9" t="s">
        <v>60</v>
      </c>
      <c r="S77" s="9" t="s">
        <v>61</v>
      </c>
      <c r="T77" s="9" t="s">
        <v>60</v>
      </c>
      <c r="U77" s="9" t="s">
        <v>60</v>
      </c>
      <c r="V77" s="9" t="s">
        <v>60</v>
      </c>
      <c r="W77" s="9" t="s">
        <v>60</v>
      </c>
      <c r="X77" s="9" t="s">
        <v>60</v>
      </c>
      <c r="Y77" s="9" t="s">
        <v>60</v>
      </c>
      <c r="Z77" s="18" t="s">
        <v>60</v>
      </c>
      <c r="AA77" s="8"/>
      <c r="AB77">
        <f t="shared" si="6"/>
        <v>2</v>
      </c>
      <c r="AC77">
        <f t="shared" si="7"/>
        <v>3</v>
      </c>
      <c r="AD77">
        <f t="shared" si="8"/>
        <v>3</v>
      </c>
      <c r="AE77" t="s">
        <v>60</v>
      </c>
      <c r="AF77" t="s">
        <v>732</v>
      </c>
      <c r="AH77" t="s">
        <v>61</v>
      </c>
    </row>
    <row r="78" spans="1:34" x14ac:dyDescent="0.25">
      <c r="A78" t="s">
        <v>721</v>
      </c>
      <c r="B78" t="s">
        <v>724</v>
      </c>
      <c r="C78" s="17" t="s">
        <v>73</v>
      </c>
      <c r="D78">
        <v>2022</v>
      </c>
      <c r="F78" t="s">
        <v>19</v>
      </c>
      <c r="G78" t="s">
        <v>9</v>
      </c>
      <c r="K78" t="s">
        <v>73</v>
      </c>
      <c r="L78" t="s">
        <v>728</v>
      </c>
      <c r="M78" t="s">
        <v>731</v>
      </c>
      <c r="N78" s="1" t="s">
        <v>725</v>
      </c>
      <c r="O78" s="1" t="s">
        <v>727</v>
      </c>
      <c r="P78" s="3" t="s">
        <v>73</v>
      </c>
      <c r="Q78" s="3" t="s">
        <v>729</v>
      </c>
      <c r="R78" s="9" t="s">
        <v>60</v>
      </c>
      <c r="S78" s="9" t="s">
        <v>61</v>
      </c>
      <c r="T78" s="9" t="s">
        <v>60</v>
      </c>
      <c r="U78" s="9" t="s">
        <v>60</v>
      </c>
      <c r="V78" s="9" t="s">
        <v>60</v>
      </c>
      <c r="W78" s="9" t="s">
        <v>60</v>
      </c>
      <c r="X78" s="9" t="s">
        <v>60</v>
      </c>
      <c r="Y78" s="9" t="s">
        <v>60</v>
      </c>
      <c r="Z78" s="18" t="s">
        <v>60</v>
      </c>
      <c r="AA78" s="8"/>
      <c r="AB78">
        <f t="shared" si="6"/>
        <v>2</v>
      </c>
      <c r="AC78">
        <f t="shared" si="7"/>
        <v>3</v>
      </c>
      <c r="AD78">
        <f t="shared" si="8"/>
        <v>3</v>
      </c>
      <c r="AE78" t="s">
        <v>60</v>
      </c>
      <c r="AF78" t="s">
        <v>732</v>
      </c>
      <c r="AH78" t="s">
        <v>61</v>
      </c>
    </row>
    <row r="79" spans="1:34" ht="30" x14ac:dyDescent="0.25">
      <c r="A79" t="s">
        <v>439</v>
      </c>
      <c r="B79" t="s">
        <v>440</v>
      </c>
      <c r="C79" s="17">
        <v>0.3</v>
      </c>
      <c r="D79">
        <v>2022</v>
      </c>
      <c r="F79" t="s">
        <v>13</v>
      </c>
      <c r="K79" t="s">
        <v>73</v>
      </c>
      <c r="N79" s="1" t="s">
        <v>441</v>
      </c>
      <c r="O79" s="1" t="s">
        <v>442</v>
      </c>
      <c r="P79" s="3" t="s">
        <v>133</v>
      </c>
      <c r="Q79" s="3" t="s">
        <v>797</v>
      </c>
      <c r="R79" s="9" t="s">
        <v>60</v>
      </c>
      <c r="S79" s="9" t="s">
        <v>61</v>
      </c>
      <c r="T79" s="9" t="s">
        <v>60</v>
      </c>
      <c r="U79" s="9" t="s">
        <v>60</v>
      </c>
      <c r="V79" s="9" t="s">
        <v>60</v>
      </c>
      <c r="W79" s="9" t="s">
        <v>60</v>
      </c>
      <c r="X79" s="9" t="s">
        <v>60</v>
      </c>
      <c r="Y79" s="9" t="s">
        <v>60</v>
      </c>
      <c r="Z79" s="18" t="s">
        <v>61</v>
      </c>
      <c r="AA79" s="8" t="s">
        <v>89</v>
      </c>
      <c r="AB79">
        <f t="shared" si="6"/>
        <v>2</v>
      </c>
      <c r="AC79">
        <f t="shared" si="7"/>
        <v>3</v>
      </c>
      <c r="AD79">
        <f t="shared" si="8"/>
        <v>2</v>
      </c>
      <c r="AE79" t="s">
        <v>61</v>
      </c>
      <c r="AF79" t="s">
        <v>73</v>
      </c>
      <c r="AH79" t="s">
        <v>61</v>
      </c>
    </row>
    <row r="80" spans="1:34" x14ac:dyDescent="0.25">
      <c r="A80" s="5" t="s">
        <v>694</v>
      </c>
      <c r="B80" t="s">
        <v>695</v>
      </c>
      <c r="C80" s="17">
        <v>1</v>
      </c>
      <c r="D80">
        <v>2022</v>
      </c>
      <c r="F80" t="s">
        <v>15</v>
      </c>
      <c r="K80" t="s">
        <v>67</v>
      </c>
      <c r="M80" t="s">
        <v>696</v>
      </c>
      <c r="N80" s="1" t="s">
        <v>697</v>
      </c>
      <c r="O80" s="1" t="s">
        <v>698</v>
      </c>
      <c r="P80" s="3" t="s">
        <v>699</v>
      </c>
      <c r="Q80" s="3" t="s">
        <v>798</v>
      </c>
      <c r="R80" s="9" t="s">
        <v>60</v>
      </c>
      <c r="S80" s="9" t="s">
        <v>60</v>
      </c>
      <c r="T80" s="9" t="s">
        <v>60</v>
      </c>
      <c r="U80" s="9" t="s">
        <v>60</v>
      </c>
      <c r="V80" s="9" t="s">
        <v>60</v>
      </c>
      <c r="W80" s="9" t="s">
        <v>60</v>
      </c>
      <c r="X80" s="9" t="s">
        <v>60</v>
      </c>
      <c r="Y80" s="9" t="s">
        <v>60</v>
      </c>
      <c r="Z80" s="18" t="s">
        <v>60</v>
      </c>
      <c r="AA80" s="8"/>
      <c r="AB80">
        <f t="shared" si="6"/>
        <v>3</v>
      </c>
      <c r="AC80">
        <f t="shared" si="7"/>
        <v>3</v>
      </c>
      <c r="AD80">
        <f t="shared" si="8"/>
        <v>3</v>
      </c>
      <c r="AE80" t="s">
        <v>61</v>
      </c>
      <c r="AF80" t="s">
        <v>73</v>
      </c>
      <c r="AH80" t="s">
        <v>61</v>
      </c>
    </row>
    <row r="81" spans="1:34" x14ac:dyDescent="0.25">
      <c r="A81" t="s">
        <v>443</v>
      </c>
      <c r="B81" t="s">
        <v>444</v>
      </c>
      <c r="C81" s="17">
        <v>1</v>
      </c>
      <c r="D81">
        <v>2022</v>
      </c>
      <c r="E81" t="s">
        <v>445</v>
      </c>
      <c r="F81" t="s">
        <v>3</v>
      </c>
      <c r="K81" t="s">
        <v>54</v>
      </c>
      <c r="M81" t="s">
        <v>446</v>
      </c>
      <c r="N81" s="1" t="s">
        <v>447</v>
      </c>
      <c r="O81" s="1" t="s">
        <v>448</v>
      </c>
      <c r="P81" s="3" t="s">
        <v>73</v>
      </c>
      <c r="Q81" s="3" t="s">
        <v>796</v>
      </c>
      <c r="R81" s="9" t="s">
        <v>60</v>
      </c>
      <c r="S81" s="9" t="s">
        <v>61</v>
      </c>
      <c r="T81" s="9" t="s">
        <v>60</v>
      </c>
      <c r="U81" s="9" t="s">
        <v>60</v>
      </c>
      <c r="V81" s="9" t="s">
        <v>60</v>
      </c>
      <c r="W81" s="9" t="s">
        <v>60</v>
      </c>
      <c r="X81" s="9" t="s">
        <v>60</v>
      </c>
      <c r="Y81" s="9" t="s">
        <v>60</v>
      </c>
      <c r="Z81" s="18" t="s">
        <v>60</v>
      </c>
      <c r="AA81" s="8" t="s">
        <v>89</v>
      </c>
      <c r="AB81">
        <f t="shared" si="6"/>
        <v>2</v>
      </c>
      <c r="AC81">
        <f t="shared" si="7"/>
        <v>3</v>
      </c>
      <c r="AD81">
        <f t="shared" si="8"/>
        <v>3</v>
      </c>
      <c r="AE81" t="s">
        <v>61</v>
      </c>
      <c r="AF81" t="s">
        <v>73</v>
      </c>
      <c r="AH81" t="s">
        <v>61</v>
      </c>
    </row>
    <row r="82" spans="1:34" x14ac:dyDescent="0.25">
      <c r="A82" t="s">
        <v>449</v>
      </c>
      <c r="B82" t="s">
        <v>361</v>
      </c>
      <c r="C82" s="17">
        <v>0.3</v>
      </c>
      <c r="D82">
        <v>2019</v>
      </c>
      <c r="E82" t="s">
        <v>206</v>
      </c>
      <c r="F82" t="s">
        <v>0</v>
      </c>
      <c r="K82" t="s">
        <v>54</v>
      </c>
      <c r="M82" t="s">
        <v>450</v>
      </c>
      <c r="N82" s="1" t="s">
        <v>451</v>
      </c>
      <c r="O82" s="1" t="s">
        <v>452</v>
      </c>
      <c r="P82" s="3" t="s">
        <v>453</v>
      </c>
      <c r="Q82" s="3" t="s">
        <v>799</v>
      </c>
      <c r="R82" s="9" t="s">
        <v>60</v>
      </c>
      <c r="S82" s="9" t="s">
        <v>60</v>
      </c>
      <c r="T82" s="9" t="s">
        <v>60</v>
      </c>
      <c r="U82" s="9" t="s">
        <v>60</v>
      </c>
      <c r="V82" s="9" t="s">
        <v>60</v>
      </c>
      <c r="W82" s="9" t="s">
        <v>60</v>
      </c>
      <c r="X82" s="9" t="s">
        <v>60</v>
      </c>
      <c r="Y82" s="9" t="s">
        <v>60</v>
      </c>
      <c r="Z82" s="18" t="s">
        <v>60</v>
      </c>
      <c r="AA82" s="8" t="s">
        <v>98</v>
      </c>
      <c r="AB82">
        <f t="shared" si="6"/>
        <v>3</v>
      </c>
      <c r="AC82">
        <f t="shared" si="7"/>
        <v>3</v>
      </c>
      <c r="AD82">
        <f t="shared" si="8"/>
        <v>3</v>
      </c>
      <c r="AE82" t="s">
        <v>61</v>
      </c>
      <c r="AF82" t="s">
        <v>73</v>
      </c>
      <c r="AH82" t="s">
        <v>61</v>
      </c>
    </row>
    <row r="83" spans="1:34" x14ac:dyDescent="0.25">
      <c r="A83" t="s">
        <v>454</v>
      </c>
      <c r="B83" t="s">
        <v>455</v>
      </c>
      <c r="C83" s="17" t="s">
        <v>456</v>
      </c>
      <c r="D83">
        <v>2019</v>
      </c>
      <c r="E83" t="s">
        <v>129</v>
      </c>
      <c r="F83" t="s">
        <v>10</v>
      </c>
      <c r="K83" t="s">
        <v>73</v>
      </c>
      <c r="L83" t="s">
        <v>457</v>
      </c>
      <c r="M83" t="s">
        <v>458</v>
      </c>
      <c r="N83" t="s">
        <v>73</v>
      </c>
      <c r="O83" s="1" t="s">
        <v>459</v>
      </c>
      <c r="P83" s="3" t="s">
        <v>73</v>
      </c>
      <c r="Q83" s="3" t="s">
        <v>73</v>
      </c>
      <c r="R83" s="9" t="s">
        <v>61</v>
      </c>
      <c r="S83" s="9" t="s">
        <v>61</v>
      </c>
      <c r="T83" s="9" t="s">
        <v>61</v>
      </c>
      <c r="U83" s="9" t="s">
        <v>60</v>
      </c>
      <c r="V83" s="9" t="s">
        <v>60</v>
      </c>
      <c r="W83" s="9" t="s">
        <v>61</v>
      </c>
      <c r="X83" s="9" t="s">
        <v>61</v>
      </c>
      <c r="Y83" s="9" t="s">
        <v>60</v>
      </c>
      <c r="Z83" s="18" t="s">
        <v>61</v>
      </c>
      <c r="AA83" s="8" t="s">
        <v>104</v>
      </c>
      <c r="AB83">
        <f t="shared" si="6"/>
        <v>0</v>
      </c>
      <c r="AC83">
        <f t="shared" si="7"/>
        <v>2</v>
      </c>
      <c r="AD83">
        <f t="shared" si="8"/>
        <v>1</v>
      </c>
      <c r="AE83" t="s">
        <v>61</v>
      </c>
      <c r="AF83" t="s">
        <v>73</v>
      </c>
      <c r="AH83" t="s">
        <v>61</v>
      </c>
    </row>
    <row r="84" spans="1:34" x14ac:dyDescent="0.25">
      <c r="A84" t="s">
        <v>460</v>
      </c>
      <c r="B84" t="s">
        <v>461</v>
      </c>
      <c r="C84" s="17" t="s">
        <v>462</v>
      </c>
      <c r="D84">
        <v>2020</v>
      </c>
      <c r="E84" t="s">
        <v>463</v>
      </c>
      <c r="F84" t="s">
        <v>7</v>
      </c>
      <c r="K84" t="s">
        <v>73</v>
      </c>
      <c r="M84" t="s">
        <v>464</v>
      </c>
      <c r="N84" t="s">
        <v>73</v>
      </c>
      <c r="O84" s="1" t="s">
        <v>465</v>
      </c>
      <c r="P84" s="3" t="s">
        <v>73</v>
      </c>
      <c r="Q84" s="3" t="s">
        <v>73</v>
      </c>
      <c r="R84" s="9" t="s">
        <v>61</v>
      </c>
      <c r="S84" s="9" t="s">
        <v>61</v>
      </c>
      <c r="T84" s="9" t="s">
        <v>61</v>
      </c>
      <c r="U84" s="9" t="s">
        <v>60</v>
      </c>
      <c r="V84" s="9" t="s">
        <v>61</v>
      </c>
      <c r="W84" s="9" t="s">
        <v>61</v>
      </c>
      <c r="X84" s="9" t="s">
        <v>61</v>
      </c>
      <c r="Y84" s="9" t="s">
        <v>61</v>
      </c>
      <c r="Z84" s="18" t="s">
        <v>60</v>
      </c>
      <c r="AA84" s="8" t="s">
        <v>98</v>
      </c>
      <c r="AB84">
        <f t="shared" si="6"/>
        <v>0</v>
      </c>
      <c r="AC84">
        <f t="shared" si="7"/>
        <v>1</v>
      </c>
      <c r="AD84">
        <f t="shared" si="8"/>
        <v>1</v>
      </c>
      <c r="AE84" t="s">
        <v>61</v>
      </c>
      <c r="AF84" t="s">
        <v>73</v>
      </c>
      <c r="AH84" t="s">
        <v>61</v>
      </c>
    </row>
    <row r="85" spans="1:34" x14ac:dyDescent="0.25">
      <c r="A85" t="s">
        <v>466</v>
      </c>
      <c r="B85" t="s">
        <v>467</v>
      </c>
      <c r="C85" s="17">
        <v>5</v>
      </c>
      <c r="D85">
        <v>2005</v>
      </c>
      <c r="F85" t="s">
        <v>12</v>
      </c>
      <c r="K85" t="s">
        <v>73</v>
      </c>
      <c r="M85" t="s">
        <v>468</v>
      </c>
      <c r="N85" t="s">
        <v>73</v>
      </c>
      <c r="O85" s="1" t="s">
        <v>469</v>
      </c>
      <c r="P85" s="3" t="s">
        <v>73</v>
      </c>
      <c r="Q85" s="3" t="s">
        <v>59</v>
      </c>
      <c r="R85" s="9" t="s">
        <v>60</v>
      </c>
      <c r="S85" s="9" t="s">
        <v>61</v>
      </c>
      <c r="T85" s="9" t="s">
        <v>61</v>
      </c>
      <c r="U85" s="9" t="s">
        <v>60</v>
      </c>
      <c r="V85" s="10" t="s">
        <v>60</v>
      </c>
      <c r="W85" s="9" t="s">
        <v>61</v>
      </c>
      <c r="X85" s="9" t="s">
        <v>60</v>
      </c>
      <c r="Y85" s="9" t="s">
        <v>60</v>
      </c>
      <c r="Z85" s="18" t="s">
        <v>61</v>
      </c>
      <c r="AA85" s="8" t="s">
        <v>78</v>
      </c>
      <c r="AB85">
        <f t="shared" si="6"/>
        <v>1</v>
      </c>
      <c r="AC85">
        <f t="shared" si="7"/>
        <v>2</v>
      </c>
      <c r="AD85">
        <f t="shared" si="8"/>
        <v>2</v>
      </c>
      <c r="AE85" t="s">
        <v>61</v>
      </c>
      <c r="AF85" t="s">
        <v>73</v>
      </c>
      <c r="AH85" t="s">
        <v>61</v>
      </c>
    </row>
    <row r="86" spans="1:34" x14ac:dyDescent="0.25">
      <c r="A86" t="s">
        <v>470</v>
      </c>
      <c r="B86" t="s">
        <v>471</v>
      </c>
      <c r="C86" s="17" t="s">
        <v>107</v>
      </c>
      <c r="D86">
        <v>2020</v>
      </c>
      <c r="E86" t="s">
        <v>226</v>
      </c>
      <c r="F86" t="s">
        <v>3</v>
      </c>
      <c r="K86" t="s">
        <v>54</v>
      </c>
      <c r="M86" t="s">
        <v>472</v>
      </c>
      <c r="N86" s="2" t="s">
        <v>473</v>
      </c>
      <c r="O86" s="1" t="s">
        <v>57</v>
      </c>
      <c r="P86" s="3" t="s">
        <v>474</v>
      </c>
      <c r="Q86" s="3" t="s">
        <v>756</v>
      </c>
      <c r="R86" s="9" t="s">
        <v>60</v>
      </c>
      <c r="S86" s="9" t="s">
        <v>60</v>
      </c>
      <c r="T86" s="9" t="s">
        <v>60</v>
      </c>
      <c r="U86" s="9" t="s">
        <v>60</v>
      </c>
      <c r="V86" s="9" t="s">
        <v>60</v>
      </c>
      <c r="W86" s="9" t="s">
        <v>60</v>
      </c>
      <c r="X86" s="9" t="s">
        <v>60</v>
      </c>
      <c r="Y86" s="9" t="s">
        <v>60</v>
      </c>
      <c r="Z86" s="18" t="s">
        <v>61</v>
      </c>
      <c r="AA86" s="8" t="s">
        <v>62</v>
      </c>
      <c r="AB86">
        <f t="shared" si="6"/>
        <v>3</v>
      </c>
      <c r="AC86">
        <f t="shared" si="7"/>
        <v>3</v>
      </c>
      <c r="AD86">
        <f t="shared" si="8"/>
        <v>2</v>
      </c>
      <c r="AE86" t="s">
        <v>60</v>
      </c>
      <c r="AF86" t="s">
        <v>64</v>
      </c>
      <c r="AH86" t="s">
        <v>61</v>
      </c>
    </row>
    <row r="87" spans="1:34" x14ac:dyDescent="0.25">
      <c r="A87" t="s">
        <v>475</v>
      </c>
      <c r="B87" t="s">
        <v>404</v>
      </c>
      <c r="C87" s="17" t="s">
        <v>73</v>
      </c>
      <c r="D87">
        <v>2018</v>
      </c>
      <c r="E87" t="s">
        <v>476</v>
      </c>
      <c r="F87" t="s">
        <v>5</v>
      </c>
      <c r="K87" t="s">
        <v>135</v>
      </c>
      <c r="M87" t="s">
        <v>477</v>
      </c>
      <c r="N87" s="1" t="s">
        <v>478</v>
      </c>
      <c r="O87" s="1" t="s">
        <v>478</v>
      </c>
      <c r="P87" s="3" t="s">
        <v>146</v>
      </c>
      <c r="Q87" s="3" t="s">
        <v>479</v>
      </c>
      <c r="R87" s="9" t="s">
        <v>60</v>
      </c>
      <c r="S87" s="9" t="s">
        <v>60</v>
      </c>
      <c r="T87" s="9" t="s">
        <v>61</v>
      </c>
      <c r="U87" s="9" t="s">
        <v>60</v>
      </c>
      <c r="V87" s="9" t="s">
        <v>60</v>
      </c>
      <c r="W87" s="9" t="s">
        <v>60</v>
      </c>
      <c r="X87" s="9" t="s">
        <v>60</v>
      </c>
      <c r="Y87" s="9" t="s">
        <v>60</v>
      </c>
      <c r="Z87" s="18" t="s">
        <v>60</v>
      </c>
      <c r="AA87" s="8" t="s">
        <v>89</v>
      </c>
      <c r="AB87">
        <f t="shared" si="6"/>
        <v>2</v>
      </c>
      <c r="AC87">
        <f t="shared" si="7"/>
        <v>3</v>
      </c>
      <c r="AD87">
        <f t="shared" si="8"/>
        <v>3</v>
      </c>
      <c r="AE87" t="s">
        <v>61</v>
      </c>
      <c r="AF87" t="s">
        <v>73</v>
      </c>
      <c r="AH87" t="s">
        <v>61</v>
      </c>
    </row>
    <row r="88" spans="1:34" x14ac:dyDescent="0.25">
      <c r="A88" t="s">
        <v>480</v>
      </c>
      <c r="B88" t="s">
        <v>481</v>
      </c>
      <c r="C88" s="17" t="s">
        <v>482</v>
      </c>
      <c r="D88">
        <v>2022</v>
      </c>
      <c r="E88" t="s">
        <v>483</v>
      </c>
      <c r="F88" t="s">
        <v>14</v>
      </c>
      <c r="K88" t="s">
        <v>54</v>
      </c>
      <c r="M88" t="s">
        <v>484</v>
      </c>
      <c r="N88" s="2" t="s">
        <v>485</v>
      </c>
      <c r="O88" s="1" t="s">
        <v>485</v>
      </c>
      <c r="P88" s="3" t="s">
        <v>486</v>
      </c>
      <c r="Q88" s="3" t="s">
        <v>767</v>
      </c>
      <c r="R88" s="9" t="s">
        <v>60</v>
      </c>
      <c r="S88" s="9" t="s">
        <v>60</v>
      </c>
      <c r="T88" s="9" t="s">
        <v>61</v>
      </c>
      <c r="U88" s="9" t="s">
        <v>60</v>
      </c>
      <c r="V88" s="9" t="s">
        <v>60</v>
      </c>
      <c r="W88" s="9" t="s">
        <v>60</v>
      </c>
      <c r="X88" s="9" t="s">
        <v>60</v>
      </c>
      <c r="Y88" s="9" t="s">
        <v>60</v>
      </c>
      <c r="Z88" s="18" t="s">
        <v>60</v>
      </c>
      <c r="AA88" s="8" t="s">
        <v>62</v>
      </c>
      <c r="AB88">
        <f t="shared" si="6"/>
        <v>2</v>
      </c>
      <c r="AC88">
        <f t="shared" si="7"/>
        <v>3</v>
      </c>
      <c r="AD88">
        <f t="shared" si="8"/>
        <v>3</v>
      </c>
      <c r="AE88" t="s">
        <v>60</v>
      </c>
      <c r="AF88" t="s">
        <v>180</v>
      </c>
      <c r="AH88" t="s">
        <v>61</v>
      </c>
    </row>
    <row r="89" spans="1:34" x14ac:dyDescent="0.25">
      <c r="A89" t="s">
        <v>487</v>
      </c>
      <c r="B89" t="s">
        <v>488</v>
      </c>
      <c r="C89" s="17" t="s">
        <v>489</v>
      </c>
      <c r="D89">
        <v>2022</v>
      </c>
      <c r="E89" t="s">
        <v>15</v>
      </c>
      <c r="F89" t="s">
        <v>15</v>
      </c>
      <c r="K89" t="s">
        <v>54</v>
      </c>
      <c r="M89" t="s">
        <v>490</v>
      </c>
      <c r="N89" s="2" t="s">
        <v>491</v>
      </c>
      <c r="O89" s="1" t="s">
        <v>491</v>
      </c>
      <c r="P89" s="3" t="s">
        <v>492</v>
      </c>
      <c r="Q89" s="3" t="s">
        <v>768</v>
      </c>
      <c r="R89" s="9" t="s">
        <v>60</v>
      </c>
      <c r="S89" s="9" t="s">
        <v>60</v>
      </c>
      <c r="T89" s="9" t="s">
        <v>61</v>
      </c>
      <c r="U89" s="9" t="s">
        <v>60</v>
      </c>
      <c r="V89" s="9" t="s">
        <v>60</v>
      </c>
      <c r="W89" s="9" t="s">
        <v>60</v>
      </c>
      <c r="X89" s="9" t="s">
        <v>60</v>
      </c>
      <c r="Y89" s="9" t="s">
        <v>60</v>
      </c>
      <c r="Z89" s="18" t="s">
        <v>61</v>
      </c>
      <c r="AA89" s="8" t="s">
        <v>62</v>
      </c>
      <c r="AB89">
        <f t="shared" si="6"/>
        <v>2</v>
      </c>
      <c r="AC89">
        <f t="shared" si="7"/>
        <v>3</v>
      </c>
      <c r="AD89">
        <f t="shared" si="8"/>
        <v>2</v>
      </c>
      <c r="AE89" t="s">
        <v>60</v>
      </c>
      <c r="AF89" t="s">
        <v>180</v>
      </c>
      <c r="AH89" t="s">
        <v>61</v>
      </c>
    </row>
    <row r="90" spans="1:34" x14ac:dyDescent="0.25">
      <c r="A90" t="s">
        <v>493</v>
      </c>
      <c r="B90" t="s">
        <v>494</v>
      </c>
      <c r="C90" s="17">
        <v>4</v>
      </c>
      <c r="D90">
        <v>2019</v>
      </c>
      <c r="E90" t="s">
        <v>476</v>
      </c>
      <c r="F90" t="s">
        <v>5</v>
      </c>
      <c r="K90" t="s">
        <v>495</v>
      </c>
      <c r="M90" t="s">
        <v>496</v>
      </c>
      <c r="N90" s="1"/>
      <c r="O90" s="1" t="s">
        <v>497</v>
      </c>
      <c r="P90" s="3" t="s">
        <v>498</v>
      </c>
      <c r="Q90" s="3" t="s">
        <v>499</v>
      </c>
      <c r="R90" s="9" t="s">
        <v>60</v>
      </c>
      <c r="S90" s="9" t="s">
        <v>60</v>
      </c>
      <c r="T90" s="9" t="s">
        <v>60</v>
      </c>
      <c r="U90" s="9" t="s">
        <v>60</v>
      </c>
      <c r="V90" s="9" t="s">
        <v>60</v>
      </c>
      <c r="W90" s="9" t="s">
        <v>61</v>
      </c>
      <c r="X90" s="9" t="s">
        <v>60</v>
      </c>
      <c r="Y90" s="9" t="s">
        <v>61</v>
      </c>
      <c r="Z90" s="18" t="s">
        <v>60</v>
      </c>
      <c r="AA90" s="8" t="s">
        <v>78</v>
      </c>
      <c r="AB90">
        <f t="shared" si="6"/>
        <v>3</v>
      </c>
      <c r="AC90">
        <f t="shared" si="7"/>
        <v>2</v>
      </c>
      <c r="AD90">
        <f t="shared" si="8"/>
        <v>2</v>
      </c>
      <c r="AE90" t="s">
        <v>61</v>
      </c>
      <c r="AF90" t="s">
        <v>73</v>
      </c>
      <c r="AH90" t="s">
        <v>61</v>
      </c>
    </row>
    <row r="91" spans="1:34" x14ac:dyDescent="0.25">
      <c r="A91" t="s">
        <v>500</v>
      </c>
      <c r="B91" s="7" t="s">
        <v>501</v>
      </c>
      <c r="C91" s="17">
        <v>1.1000000000000001</v>
      </c>
      <c r="D91">
        <v>2020</v>
      </c>
      <c r="E91" t="s">
        <v>502</v>
      </c>
      <c r="F91" t="s">
        <v>4</v>
      </c>
      <c r="K91" t="s">
        <v>101</v>
      </c>
      <c r="M91" t="s">
        <v>503</v>
      </c>
      <c r="N91" t="s">
        <v>73</v>
      </c>
      <c r="O91" s="1" t="s">
        <v>103</v>
      </c>
      <c r="P91" s="3" t="s">
        <v>73</v>
      </c>
      <c r="Q91" s="20" t="s">
        <v>73</v>
      </c>
      <c r="R91" s="9" t="s">
        <v>61</v>
      </c>
      <c r="S91" s="9" t="s">
        <v>61</v>
      </c>
      <c r="T91" s="9" t="s">
        <v>61</v>
      </c>
      <c r="U91" s="9" t="s">
        <v>60</v>
      </c>
      <c r="V91" s="9" t="s">
        <v>60</v>
      </c>
      <c r="W91" s="9" t="s">
        <v>61</v>
      </c>
      <c r="X91" s="9" t="s">
        <v>61</v>
      </c>
      <c r="Y91" s="9" t="s">
        <v>61</v>
      </c>
      <c r="Z91" s="18" t="s">
        <v>61</v>
      </c>
      <c r="AA91" s="8" t="s">
        <v>104</v>
      </c>
      <c r="AB91">
        <f t="shared" si="6"/>
        <v>0</v>
      </c>
      <c r="AC91">
        <f t="shared" si="7"/>
        <v>2</v>
      </c>
      <c r="AD91">
        <f t="shared" si="8"/>
        <v>0</v>
      </c>
      <c r="AE91" t="s">
        <v>61</v>
      </c>
      <c r="AF91" t="s">
        <v>73</v>
      </c>
      <c r="AH91" t="s">
        <v>61</v>
      </c>
    </row>
    <row r="92" spans="1:34" x14ac:dyDescent="0.25">
      <c r="A92" t="s">
        <v>504</v>
      </c>
      <c r="B92" t="s">
        <v>505</v>
      </c>
      <c r="C92" s="17" t="s">
        <v>506</v>
      </c>
      <c r="D92">
        <v>2020</v>
      </c>
      <c r="E92" t="s">
        <v>53</v>
      </c>
      <c r="F92" t="s">
        <v>14</v>
      </c>
      <c r="K92" t="s">
        <v>54</v>
      </c>
      <c r="M92" t="s">
        <v>507</v>
      </c>
      <c r="N92" s="2" t="s">
        <v>508</v>
      </c>
      <c r="O92" s="1" t="s">
        <v>57</v>
      </c>
      <c r="P92" s="3" t="s">
        <v>509</v>
      </c>
      <c r="Q92" s="3" t="s">
        <v>510</v>
      </c>
      <c r="R92" s="9" t="s">
        <v>60</v>
      </c>
      <c r="S92" s="9" t="s">
        <v>60</v>
      </c>
      <c r="T92" s="9" t="s">
        <v>61</v>
      </c>
      <c r="U92" s="9" t="s">
        <v>60</v>
      </c>
      <c r="V92" s="9" t="s">
        <v>60</v>
      </c>
      <c r="W92" s="9" t="s">
        <v>60</v>
      </c>
      <c r="X92" s="9" t="s">
        <v>60</v>
      </c>
      <c r="Y92" s="9" t="s">
        <v>60</v>
      </c>
      <c r="Z92" s="18" t="s">
        <v>61</v>
      </c>
      <c r="AA92" s="8" t="s">
        <v>62</v>
      </c>
      <c r="AB92">
        <f t="shared" si="6"/>
        <v>2</v>
      </c>
      <c r="AC92">
        <f t="shared" si="7"/>
        <v>3</v>
      </c>
      <c r="AD92">
        <f t="shared" si="8"/>
        <v>2</v>
      </c>
      <c r="AE92" t="s">
        <v>60</v>
      </c>
      <c r="AF92" t="s">
        <v>64</v>
      </c>
      <c r="AH92" t="s">
        <v>61</v>
      </c>
    </row>
    <row r="93" spans="1:34" x14ac:dyDescent="0.25">
      <c r="A93" t="s">
        <v>511</v>
      </c>
      <c r="B93" t="s">
        <v>512</v>
      </c>
      <c r="C93" s="17" t="s">
        <v>513</v>
      </c>
      <c r="D93">
        <v>2022</v>
      </c>
      <c r="E93" t="s">
        <v>483</v>
      </c>
      <c r="F93" t="s">
        <v>16</v>
      </c>
      <c r="K93" t="s">
        <v>54</v>
      </c>
      <c r="M93" t="s">
        <v>514</v>
      </c>
      <c r="N93" s="2" t="s">
        <v>515</v>
      </c>
      <c r="O93" s="1" t="s">
        <v>515</v>
      </c>
      <c r="P93" s="3" t="s">
        <v>516</v>
      </c>
      <c r="Q93" s="3" t="s">
        <v>769</v>
      </c>
      <c r="R93" s="9" t="s">
        <v>60</v>
      </c>
      <c r="S93" s="9" t="s">
        <v>60</v>
      </c>
      <c r="T93" s="9" t="s">
        <v>61</v>
      </c>
      <c r="U93" s="9" t="s">
        <v>60</v>
      </c>
      <c r="V93" s="9" t="s">
        <v>60</v>
      </c>
      <c r="W93" s="9" t="s">
        <v>60</v>
      </c>
      <c r="X93" s="9" t="s">
        <v>60</v>
      </c>
      <c r="Y93" s="9" t="s">
        <v>60</v>
      </c>
      <c r="Z93" s="18" t="s">
        <v>60</v>
      </c>
      <c r="AA93" s="8" t="s">
        <v>62</v>
      </c>
      <c r="AB93">
        <f t="shared" si="6"/>
        <v>2</v>
      </c>
      <c r="AC93">
        <f t="shared" si="7"/>
        <v>3</v>
      </c>
      <c r="AD93">
        <f t="shared" si="8"/>
        <v>3</v>
      </c>
      <c r="AE93" t="s">
        <v>60</v>
      </c>
      <c r="AF93" t="s">
        <v>180</v>
      </c>
      <c r="AH93" t="s">
        <v>61</v>
      </c>
    </row>
    <row r="94" spans="1:34" x14ac:dyDescent="0.25">
      <c r="A94" t="s">
        <v>517</v>
      </c>
      <c r="B94" t="s">
        <v>518</v>
      </c>
      <c r="C94" s="17" t="s">
        <v>519</v>
      </c>
      <c r="D94">
        <v>2020</v>
      </c>
      <c r="E94" t="s">
        <v>129</v>
      </c>
      <c r="F94" t="s">
        <v>10</v>
      </c>
      <c r="G94" t="s">
        <v>0</v>
      </c>
      <c r="K94" t="s">
        <v>151</v>
      </c>
      <c r="L94" t="s">
        <v>520</v>
      </c>
      <c r="M94" t="s">
        <v>521</v>
      </c>
      <c r="N94" s="2" t="s">
        <v>522</v>
      </c>
      <c r="O94" s="1" t="s">
        <v>522</v>
      </c>
      <c r="P94" s="3" t="s">
        <v>523</v>
      </c>
      <c r="Q94" s="3" t="s">
        <v>802</v>
      </c>
      <c r="R94" s="9" t="s">
        <v>60</v>
      </c>
      <c r="S94" s="9" t="s">
        <v>60</v>
      </c>
      <c r="T94" s="12" t="s">
        <v>60</v>
      </c>
      <c r="U94" s="9" t="s">
        <v>60</v>
      </c>
      <c r="V94" s="9" t="s">
        <v>60</v>
      </c>
      <c r="W94" s="9" t="s">
        <v>60</v>
      </c>
      <c r="X94" s="9" t="s">
        <v>60</v>
      </c>
      <c r="Y94" s="9" t="s">
        <v>60</v>
      </c>
      <c r="Z94" s="18" t="s">
        <v>60</v>
      </c>
      <c r="AA94" s="8" t="s">
        <v>62</v>
      </c>
      <c r="AB94">
        <f t="shared" si="6"/>
        <v>3</v>
      </c>
      <c r="AC94">
        <f t="shared" si="7"/>
        <v>3</v>
      </c>
      <c r="AD94">
        <f t="shared" si="8"/>
        <v>3</v>
      </c>
      <c r="AE94" t="s">
        <v>60</v>
      </c>
      <c r="AF94" t="s">
        <v>524</v>
      </c>
      <c r="AH94" t="s">
        <v>61</v>
      </c>
    </row>
    <row r="95" spans="1:34" x14ac:dyDescent="0.25">
      <c r="A95" t="s">
        <v>525</v>
      </c>
      <c r="B95" t="s">
        <v>526</v>
      </c>
      <c r="C95" s="17" t="s">
        <v>527</v>
      </c>
      <c r="D95">
        <v>2020</v>
      </c>
      <c r="E95" t="s">
        <v>129</v>
      </c>
      <c r="F95" t="s">
        <v>10</v>
      </c>
      <c r="G95" t="s">
        <v>326</v>
      </c>
      <c r="K95" t="s">
        <v>151</v>
      </c>
      <c r="M95" t="s">
        <v>528</v>
      </c>
      <c r="N95" s="2" t="s">
        <v>529</v>
      </c>
      <c r="O95" s="1" t="s">
        <v>529</v>
      </c>
      <c r="P95" s="3" t="s">
        <v>523</v>
      </c>
      <c r="Q95" s="3" t="s">
        <v>804</v>
      </c>
      <c r="R95" s="9" t="s">
        <v>60</v>
      </c>
      <c r="S95" s="9" t="s">
        <v>60</v>
      </c>
      <c r="T95" s="10" t="s">
        <v>61</v>
      </c>
      <c r="U95" s="9" t="s">
        <v>60</v>
      </c>
      <c r="V95" s="9" t="s">
        <v>60</v>
      </c>
      <c r="W95" s="9" t="s">
        <v>60</v>
      </c>
      <c r="X95" s="9" t="s">
        <v>60</v>
      </c>
      <c r="Y95" s="9" t="s">
        <v>60</v>
      </c>
      <c r="Z95" s="18" t="s">
        <v>60</v>
      </c>
      <c r="AA95" s="8" t="s">
        <v>62</v>
      </c>
      <c r="AB95">
        <f t="shared" si="6"/>
        <v>2</v>
      </c>
      <c r="AC95">
        <f t="shared" si="7"/>
        <v>3</v>
      </c>
      <c r="AD95">
        <f t="shared" si="8"/>
        <v>3</v>
      </c>
      <c r="AE95" t="s">
        <v>60</v>
      </c>
      <c r="AF95" t="s">
        <v>524</v>
      </c>
      <c r="AH95" t="s">
        <v>61</v>
      </c>
    </row>
    <row r="96" spans="1:34" x14ac:dyDescent="0.25">
      <c r="A96" t="s">
        <v>530</v>
      </c>
      <c r="B96" t="s">
        <v>531</v>
      </c>
      <c r="C96" s="17" t="s">
        <v>532</v>
      </c>
      <c r="D96">
        <v>2024</v>
      </c>
      <c r="E96" t="s">
        <v>129</v>
      </c>
      <c r="F96" t="s">
        <v>10</v>
      </c>
      <c r="G96" t="s">
        <v>4</v>
      </c>
      <c r="K96" t="s">
        <v>151</v>
      </c>
      <c r="M96" t="s">
        <v>533</v>
      </c>
      <c r="N96" s="2" t="s">
        <v>534</v>
      </c>
      <c r="O96" s="1" t="s">
        <v>534</v>
      </c>
      <c r="P96" s="3" t="s">
        <v>523</v>
      </c>
      <c r="Q96" s="3" t="s">
        <v>805</v>
      </c>
      <c r="R96" s="9" t="s">
        <v>60</v>
      </c>
      <c r="S96" s="9" t="s">
        <v>60</v>
      </c>
      <c r="T96" s="10" t="s">
        <v>61</v>
      </c>
      <c r="U96" s="9" t="s">
        <v>60</v>
      </c>
      <c r="V96" s="9" t="s">
        <v>60</v>
      </c>
      <c r="W96" s="9" t="s">
        <v>60</v>
      </c>
      <c r="X96" s="9" t="s">
        <v>60</v>
      </c>
      <c r="Y96" s="9" t="s">
        <v>60</v>
      </c>
      <c r="Z96" s="18" t="s">
        <v>61</v>
      </c>
      <c r="AA96" s="8" t="s">
        <v>62</v>
      </c>
      <c r="AB96">
        <f t="shared" si="6"/>
        <v>2</v>
      </c>
      <c r="AC96">
        <f t="shared" si="7"/>
        <v>3</v>
      </c>
      <c r="AD96">
        <f t="shared" si="8"/>
        <v>2</v>
      </c>
      <c r="AE96" t="s">
        <v>60</v>
      </c>
      <c r="AF96" t="s">
        <v>524</v>
      </c>
      <c r="AH96" t="s">
        <v>61</v>
      </c>
    </row>
    <row r="97" spans="1:34" x14ac:dyDescent="0.25">
      <c r="A97" t="s">
        <v>535</v>
      </c>
      <c r="B97" t="s">
        <v>536</v>
      </c>
      <c r="C97" s="17" t="s">
        <v>527</v>
      </c>
      <c r="D97">
        <v>2024</v>
      </c>
      <c r="E97" t="s">
        <v>129</v>
      </c>
      <c r="F97" t="s">
        <v>10</v>
      </c>
      <c r="G97" t="s">
        <v>537</v>
      </c>
      <c r="K97" t="s">
        <v>151</v>
      </c>
      <c r="M97" t="s">
        <v>538</v>
      </c>
      <c r="N97" s="2" t="s">
        <v>539</v>
      </c>
      <c r="O97" s="1" t="s">
        <v>539</v>
      </c>
      <c r="P97" s="3" t="s">
        <v>523</v>
      </c>
      <c r="Q97" s="3" t="s">
        <v>806</v>
      </c>
      <c r="R97" s="9" t="s">
        <v>60</v>
      </c>
      <c r="S97" s="9" t="s">
        <v>60</v>
      </c>
      <c r="T97" s="10" t="s">
        <v>61</v>
      </c>
      <c r="U97" s="9" t="s">
        <v>60</v>
      </c>
      <c r="V97" s="9" t="s">
        <v>60</v>
      </c>
      <c r="W97" s="9" t="s">
        <v>60</v>
      </c>
      <c r="X97" s="9" t="s">
        <v>60</v>
      </c>
      <c r="Y97" s="9" t="s">
        <v>60</v>
      </c>
      <c r="Z97" s="18" t="s">
        <v>61</v>
      </c>
      <c r="AA97" s="8" t="s">
        <v>62</v>
      </c>
      <c r="AB97">
        <f t="shared" si="6"/>
        <v>2</v>
      </c>
      <c r="AC97">
        <f t="shared" si="7"/>
        <v>3</v>
      </c>
      <c r="AD97">
        <f t="shared" si="8"/>
        <v>2</v>
      </c>
      <c r="AE97" t="s">
        <v>60</v>
      </c>
      <c r="AF97" t="s">
        <v>524</v>
      </c>
      <c r="AH97" t="s">
        <v>61</v>
      </c>
    </row>
    <row r="98" spans="1:34" x14ac:dyDescent="0.25">
      <c r="A98" t="s">
        <v>540</v>
      </c>
      <c r="B98" t="s">
        <v>541</v>
      </c>
      <c r="C98" s="17" t="s">
        <v>542</v>
      </c>
      <c r="D98">
        <v>2023</v>
      </c>
      <c r="E98" t="s">
        <v>129</v>
      </c>
      <c r="F98" t="s">
        <v>10</v>
      </c>
      <c r="G98" t="s">
        <v>4</v>
      </c>
      <c r="K98" t="s">
        <v>151</v>
      </c>
      <c r="M98" t="s">
        <v>543</v>
      </c>
      <c r="N98" s="2" t="s">
        <v>544</v>
      </c>
      <c r="O98" s="1" t="s">
        <v>544</v>
      </c>
      <c r="P98" s="3" t="s">
        <v>523</v>
      </c>
      <c r="Q98" s="3" t="s">
        <v>807</v>
      </c>
      <c r="R98" s="9" t="s">
        <v>60</v>
      </c>
      <c r="S98" s="9" t="s">
        <v>60</v>
      </c>
      <c r="T98" s="10" t="s">
        <v>61</v>
      </c>
      <c r="U98" s="9" t="s">
        <v>60</v>
      </c>
      <c r="V98" s="9" t="s">
        <v>60</v>
      </c>
      <c r="W98" s="9" t="s">
        <v>60</v>
      </c>
      <c r="X98" s="9" t="s">
        <v>60</v>
      </c>
      <c r="Y98" s="9" t="s">
        <v>60</v>
      </c>
      <c r="Z98" s="18" t="s">
        <v>61</v>
      </c>
      <c r="AA98" s="8" t="s">
        <v>62</v>
      </c>
      <c r="AB98">
        <f t="shared" si="6"/>
        <v>2</v>
      </c>
      <c r="AC98">
        <f t="shared" si="7"/>
        <v>3</v>
      </c>
      <c r="AD98">
        <f t="shared" si="8"/>
        <v>2</v>
      </c>
      <c r="AE98" t="s">
        <v>60</v>
      </c>
      <c r="AF98" t="s">
        <v>524</v>
      </c>
      <c r="AH98" t="s">
        <v>61</v>
      </c>
    </row>
    <row r="99" spans="1:34" x14ac:dyDescent="0.25">
      <c r="A99" t="s">
        <v>545</v>
      </c>
      <c r="B99" t="s">
        <v>546</v>
      </c>
      <c r="C99" s="17" t="s">
        <v>542</v>
      </c>
      <c r="D99">
        <v>2021</v>
      </c>
      <c r="E99" t="s">
        <v>129</v>
      </c>
      <c r="F99" t="s">
        <v>10</v>
      </c>
      <c r="G99" t="s">
        <v>0</v>
      </c>
      <c r="K99" t="s">
        <v>151</v>
      </c>
      <c r="M99" t="s">
        <v>547</v>
      </c>
      <c r="N99" s="2" t="s">
        <v>548</v>
      </c>
      <c r="O99" s="1" t="s">
        <v>548</v>
      </c>
      <c r="P99" s="3" t="s">
        <v>549</v>
      </c>
      <c r="Q99" s="3" t="s">
        <v>808</v>
      </c>
      <c r="R99" s="9" t="s">
        <v>60</v>
      </c>
      <c r="S99" s="9" t="s">
        <v>60</v>
      </c>
      <c r="T99" s="9" t="s">
        <v>60</v>
      </c>
      <c r="U99" s="9" t="s">
        <v>60</v>
      </c>
      <c r="V99" s="9" t="s">
        <v>60</v>
      </c>
      <c r="W99" s="9" t="s">
        <v>60</v>
      </c>
      <c r="X99" s="9" t="s">
        <v>60</v>
      </c>
      <c r="Y99" s="9" t="s">
        <v>60</v>
      </c>
      <c r="Z99" s="18" t="s">
        <v>61</v>
      </c>
      <c r="AA99" s="8" t="s">
        <v>62</v>
      </c>
      <c r="AB99">
        <f t="shared" ref="AB99:AB126" si="9">COUNTIF(R99:T99, "yes")</f>
        <v>3</v>
      </c>
      <c r="AC99">
        <f t="shared" ref="AC99:AC126" si="10">COUNTIF(U99:W99, "yes")</f>
        <v>3</v>
      </c>
      <c r="AD99">
        <f t="shared" ref="AD99:AD126" si="11">COUNTIF(X99:Z99, "yes")</f>
        <v>2</v>
      </c>
      <c r="AE99" t="s">
        <v>60</v>
      </c>
      <c r="AF99" t="s">
        <v>524</v>
      </c>
      <c r="AH99" t="s">
        <v>61</v>
      </c>
    </row>
    <row r="100" spans="1:34" x14ac:dyDescent="0.25">
      <c r="A100" t="s">
        <v>550</v>
      </c>
      <c r="B100" t="s">
        <v>551</v>
      </c>
      <c r="C100" s="17" t="s">
        <v>527</v>
      </c>
      <c r="D100">
        <v>2020</v>
      </c>
      <c r="E100" t="s">
        <v>129</v>
      </c>
      <c r="F100" t="s">
        <v>10</v>
      </c>
      <c r="K100" t="s">
        <v>151</v>
      </c>
      <c r="M100" t="s">
        <v>552</v>
      </c>
      <c r="N100" s="2" t="s">
        <v>553</v>
      </c>
      <c r="O100" s="1" t="s">
        <v>553</v>
      </c>
      <c r="P100" s="3" t="s">
        <v>73</v>
      </c>
      <c r="Q100" s="3" t="s">
        <v>809</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524</v>
      </c>
      <c r="AH100" t="s">
        <v>61</v>
      </c>
    </row>
    <row r="101" spans="1:34" x14ac:dyDescent="0.25">
      <c r="A101" t="s">
        <v>554</v>
      </c>
      <c r="B101" t="s">
        <v>555</v>
      </c>
      <c r="C101" s="17" t="s">
        <v>556</v>
      </c>
      <c r="D101">
        <v>2020</v>
      </c>
      <c r="E101" t="s">
        <v>129</v>
      </c>
      <c r="F101" t="s">
        <v>10</v>
      </c>
      <c r="G101" t="s">
        <v>557</v>
      </c>
      <c r="K101" t="s">
        <v>151</v>
      </c>
      <c r="M101" t="s">
        <v>558</v>
      </c>
      <c r="N101" s="2" t="s">
        <v>559</v>
      </c>
      <c r="O101" s="1" t="s">
        <v>559</v>
      </c>
      <c r="P101" s="3" t="s">
        <v>560</v>
      </c>
      <c r="Q101" s="3" t="s">
        <v>810</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524</v>
      </c>
      <c r="AH101" t="s">
        <v>61</v>
      </c>
    </row>
    <row r="102" spans="1:34" x14ac:dyDescent="0.25">
      <c r="A102" t="s">
        <v>561</v>
      </c>
      <c r="B102" t="s">
        <v>562</v>
      </c>
      <c r="C102" s="17" t="s">
        <v>563</v>
      </c>
      <c r="D102">
        <v>2022</v>
      </c>
      <c r="E102" t="s">
        <v>17</v>
      </c>
      <c r="F102" t="s">
        <v>17</v>
      </c>
      <c r="K102" t="s">
        <v>54</v>
      </c>
      <c r="M102" t="s">
        <v>564</v>
      </c>
      <c r="N102" s="2" t="s">
        <v>565</v>
      </c>
      <c r="O102" s="1" t="s">
        <v>565</v>
      </c>
      <c r="P102" s="3" t="s">
        <v>566</v>
      </c>
      <c r="Q102" s="3" t="s">
        <v>770</v>
      </c>
      <c r="R102" s="9" t="s">
        <v>60</v>
      </c>
      <c r="S102" s="9" t="s">
        <v>60</v>
      </c>
      <c r="T102" s="9"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180</v>
      </c>
      <c r="AH102" t="s">
        <v>61</v>
      </c>
    </row>
    <row r="103" spans="1:34" x14ac:dyDescent="0.25">
      <c r="A103" t="s">
        <v>567</v>
      </c>
      <c r="B103" t="s">
        <v>568</v>
      </c>
      <c r="C103" s="17" t="s">
        <v>73</v>
      </c>
      <c r="D103">
        <v>2016</v>
      </c>
      <c r="F103" t="s">
        <v>10</v>
      </c>
      <c r="K103" t="s">
        <v>332</v>
      </c>
      <c r="M103" t="s">
        <v>569</v>
      </c>
      <c r="N103" s="1" t="s">
        <v>570</v>
      </c>
      <c r="O103" s="1" t="s">
        <v>570</v>
      </c>
      <c r="P103" s="3" t="s">
        <v>571</v>
      </c>
      <c r="Q103" s="3" t="s">
        <v>572</v>
      </c>
      <c r="R103" s="9" t="s">
        <v>60</v>
      </c>
      <c r="S103" s="9" t="s">
        <v>60</v>
      </c>
      <c r="T103" s="9" t="s">
        <v>60</v>
      </c>
      <c r="U103" s="9" t="s">
        <v>60</v>
      </c>
      <c r="V103" s="9" t="s">
        <v>60</v>
      </c>
      <c r="W103" s="9" t="s">
        <v>60</v>
      </c>
      <c r="X103" s="9" t="s">
        <v>60</v>
      </c>
      <c r="Y103" s="9" t="s">
        <v>61</v>
      </c>
      <c r="Z103" s="18" t="s">
        <v>61</v>
      </c>
      <c r="AA103" s="8" t="s">
        <v>89</v>
      </c>
      <c r="AB103">
        <f t="shared" si="9"/>
        <v>3</v>
      </c>
      <c r="AC103">
        <f t="shared" si="10"/>
        <v>3</v>
      </c>
      <c r="AD103">
        <f t="shared" si="11"/>
        <v>1</v>
      </c>
      <c r="AE103" t="s">
        <v>61</v>
      </c>
      <c r="AF103" t="s">
        <v>73</v>
      </c>
      <c r="AH103" t="s">
        <v>61</v>
      </c>
    </row>
    <row r="104" spans="1:34" x14ac:dyDescent="0.25">
      <c r="A104" t="s">
        <v>573</v>
      </c>
      <c r="B104" t="s">
        <v>523</v>
      </c>
      <c r="C104" s="17" t="s">
        <v>574</v>
      </c>
      <c r="D104">
        <v>2023</v>
      </c>
      <c r="E104" t="s">
        <v>129</v>
      </c>
      <c r="F104" t="s">
        <v>10</v>
      </c>
      <c r="K104" t="s">
        <v>151</v>
      </c>
      <c r="M104" t="s">
        <v>575</v>
      </c>
      <c r="N104" s="2" t="s">
        <v>576</v>
      </c>
      <c r="O104" s="1" t="s">
        <v>576</v>
      </c>
      <c r="P104" s="3" t="s">
        <v>551</v>
      </c>
      <c r="Q104" s="3" t="s">
        <v>803</v>
      </c>
      <c r="R104" s="9" t="s">
        <v>60</v>
      </c>
      <c r="S104" s="9" t="s">
        <v>60</v>
      </c>
      <c r="T104" s="9" t="s">
        <v>61</v>
      </c>
      <c r="U104" s="9" t="s">
        <v>60</v>
      </c>
      <c r="V104" s="9" t="s">
        <v>60</v>
      </c>
      <c r="W104" s="9" t="s">
        <v>60</v>
      </c>
      <c r="X104" s="9" t="s">
        <v>60</v>
      </c>
      <c r="Y104" s="9" t="s">
        <v>60</v>
      </c>
      <c r="Z104" s="18" t="s">
        <v>60</v>
      </c>
      <c r="AA104" s="8" t="s">
        <v>62</v>
      </c>
      <c r="AB104">
        <f t="shared" si="9"/>
        <v>2</v>
      </c>
      <c r="AC104">
        <f t="shared" si="10"/>
        <v>3</v>
      </c>
      <c r="AD104">
        <f t="shared" si="11"/>
        <v>3</v>
      </c>
      <c r="AE104" t="s">
        <v>60</v>
      </c>
      <c r="AF104" t="s">
        <v>524</v>
      </c>
      <c r="AH104" t="s">
        <v>61</v>
      </c>
    </row>
    <row r="105" spans="1:34" x14ac:dyDescent="0.25">
      <c r="A105" t="s">
        <v>577</v>
      </c>
      <c r="B105" t="s">
        <v>578</v>
      </c>
      <c r="C105" s="17">
        <v>0.6</v>
      </c>
      <c r="D105">
        <v>2020</v>
      </c>
      <c r="E105" t="s">
        <v>579</v>
      </c>
      <c r="F105" t="s">
        <v>17</v>
      </c>
      <c r="G105" t="s">
        <v>6</v>
      </c>
      <c r="K105" t="s">
        <v>580</v>
      </c>
      <c r="M105" t="s">
        <v>581</v>
      </c>
      <c r="N105" s="1" t="s">
        <v>582</v>
      </c>
      <c r="O105" s="1" t="s">
        <v>582</v>
      </c>
      <c r="P105" s="3" t="s">
        <v>583</v>
      </c>
      <c r="Q105" s="3" t="s">
        <v>811</v>
      </c>
      <c r="R105" s="9" t="s">
        <v>60</v>
      </c>
      <c r="S105" s="9" t="s">
        <v>60</v>
      </c>
      <c r="T105" s="9" t="s">
        <v>61</v>
      </c>
      <c r="U105" s="9" t="s">
        <v>60</v>
      </c>
      <c r="V105" s="9" t="s">
        <v>60</v>
      </c>
      <c r="W105" s="9" t="s">
        <v>60</v>
      </c>
      <c r="X105" s="9" t="s">
        <v>60</v>
      </c>
      <c r="Y105" s="9" t="s">
        <v>60</v>
      </c>
      <c r="Z105" s="18" t="s">
        <v>61</v>
      </c>
      <c r="AA105" s="8" t="s">
        <v>104</v>
      </c>
      <c r="AB105">
        <f t="shared" si="9"/>
        <v>2</v>
      </c>
      <c r="AC105">
        <f t="shared" si="10"/>
        <v>3</v>
      </c>
      <c r="AD105">
        <f t="shared" si="11"/>
        <v>2</v>
      </c>
      <c r="AE105" t="s">
        <v>61</v>
      </c>
      <c r="AF105" t="s">
        <v>73</v>
      </c>
      <c r="AH105" t="s">
        <v>61</v>
      </c>
    </row>
    <row r="106" spans="1:34" x14ac:dyDescent="0.25">
      <c r="A106" t="s">
        <v>584</v>
      </c>
      <c r="B106" t="s">
        <v>585</v>
      </c>
      <c r="C106" s="17" t="s">
        <v>73</v>
      </c>
      <c r="D106" t="s">
        <v>73</v>
      </c>
      <c r="E106" t="s">
        <v>108</v>
      </c>
      <c r="F106" t="s">
        <v>0</v>
      </c>
      <c r="G106" t="s">
        <v>1</v>
      </c>
      <c r="K106" t="s">
        <v>73</v>
      </c>
      <c r="M106" t="s">
        <v>586</v>
      </c>
      <c r="N106" t="s">
        <v>73</v>
      </c>
      <c r="O106" s="14" t="s">
        <v>587</v>
      </c>
      <c r="P106" s="3" t="s">
        <v>588</v>
      </c>
      <c r="Q106" s="3" t="s">
        <v>801</v>
      </c>
      <c r="R106" s="9" t="s">
        <v>60</v>
      </c>
      <c r="S106" s="9" t="s">
        <v>60</v>
      </c>
      <c r="T106" s="9" t="s">
        <v>60</v>
      </c>
      <c r="V106" s="9" t="s">
        <v>60</v>
      </c>
      <c r="W106" s="9" t="s">
        <v>61</v>
      </c>
      <c r="X106" s="15"/>
      <c r="Z106" s="18" t="s">
        <v>61</v>
      </c>
      <c r="AA106" s="8" t="s">
        <v>78</v>
      </c>
      <c r="AB106">
        <f t="shared" si="9"/>
        <v>3</v>
      </c>
      <c r="AC106">
        <f t="shared" si="10"/>
        <v>1</v>
      </c>
      <c r="AD106">
        <f t="shared" si="11"/>
        <v>0</v>
      </c>
      <c r="AE106" t="s">
        <v>61</v>
      </c>
      <c r="AF106" t="s">
        <v>73</v>
      </c>
      <c r="AH106" t="s">
        <v>61</v>
      </c>
    </row>
    <row r="107" spans="1:34" x14ac:dyDescent="0.25">
      <c r="A107" t="s">
        <v>589</v>
      </c>
      <c r="B107" t="s">
        <v>590</v>
      </c>
      <c r="C107" s="17" t="s">
        <v>73</v>
      </c>
      <c r="D107">
        <v>2017</v>
      </c>
      <c r="E107" t="s">
        <v>226</v>
      </c>
      <c r="F107" t="s">
        <v>4</v>
      </c>
      <c r="K107" t="s">
        <v>73</v>
      </c>
      <c r="M107" t="s">
        <v>591</v>
      </c>
      <c r="N107" t="s">
        <v>73</v>
      </c>
      <c r="O107" s="1" t="s">
        <v>592</v>
      </c>
      <c r="P107" s="3" t="s">
        <v>73</v>
      </c>
      <c r="Q107" s="3" t="s">
        <v>73</v>
      </c>
      <c r="R107" s="9" t="s">
        <v>61</v>
      </c>
      <c r="S107" s="9" t="s">
        <v>61</v>
      </c>
      <c r="T107" s="9" t="s">
        <v>61</v>
      </c>
      <c r="U107" s="9" t="s">
        <v>61</v>
      </c>
      <c r="V107" s="9" t="s">
        <v>61</v>
      </c>
      <c r="W107" s="9" t="s">
        <v>61</v>
      </c>
      <c r="X107" s="9" t="s">
        <v>61</v>
      </c>
      <c r="Y107" s="9" t="s">
        <v>61</v>
      </c>
      <c r="Z107" s="18" t="s">
        <v>61</v>
      </c>
      <c r="AA107" s="8" t="s">
        <v>89</v>
      </c>
      <c r="AB107">
        <f t="shared" si="9"/>
        <v>0</v>
      </c>
      <c r="AC107">
        <f t="shared" si="10"/>
        <v>0</v>
      </c>
      <c r="AD107">
        <f t="shared" si="11"/>
        <v>0</v>
      </c>
      <c r="AE107" t="s">
        <v>61</v>
      </c>
      <c r="AF107" t="s">
        <v>73</v>
      </c>
      <c r="AH107" t="s">
        <v>61</v>
      </c>
    </row>
    <row r="108" spans="1:34" x14ac:dyDescent="0.25">
      <c r="A108" t="s">
        <v>593</v>
      </c>
      <c r="B108" t="s">
        <v>594</v>
      </c>
      <c r="C108" s="17" t="s">
        <v>387</v>
      </c>
      <c r="D108">
        <v>2020</v>
      </c>
      <c r="E108" t="s">
        <v>129</v>
      </c>
      <c r="F108" t="s">
        <v>10</v>
      </c>
      <c r="K108" t="s">
        <v>54</v>
      </c>
      <c r="M108" t="s">
        <v>595</v>
      </c>
      <c r="N108" s="2" t="s">
        <v>596</v>
      </c>
      <c r="O108" s="1" t="s">
        <v>57</v>
      </c>
      <c r="P108" s="3" t="s">
        <v>422</v>
      </c>
      <c r="Q108" s="3" t="s">
        <v>757</v>
      </c>
      <c r="R108" s="9" t="s">
        <v>60</v>
      </c>
      <c r="S108" s="9" t="s">
        <v>60</v>
      </c>
      <c r="T108" s="9" t="s">
        <v>61</v>
      </c>
      <c r="U108" s="9" t="s">
        <v>60</v>
      </c>
      <c r="V108" s="9" t="s">
        <v>60</v>
      </c>
      <c r="W108" s="9" t="s">
        <v>60</v>
      </c>
      <c r="X108" s="9" t="s">
        <v>60</v>
      </c>
      <c r="Y108" s="9" t="s">
        <v>60</v>
      </c>
      <c r="Z108" s="18" t="s">
        <v>61</v>
      </c>
      <c r="AA108" s="8" t="s">
        <v>62</v>
      </c>
      <c r="AB108">
        <f t="shared" si="9"/>
        <v>2</v>
      </c>
      <c r="AC108">
        <f t="shared" si="10"/>
        <v>3</v>
      </c>
      <c r="AD108">
        <f t="shared" si="11"/>
        <v>2</v>
      </c>
      <c r="AE108" t="s">
        <v>60</v>
      </c>
      <c r="AF108" t="s">
        <v>64</v>
      </c>
      <c r="AH108" t="s">
        <v>61</v>
      </c>
    </row>
    <row r="109" spans="1:34" x14ac:dyDescent="0.25">
      <c r="A109" t="s">
        <v>597</v>
      </c>
      <c r="B109" t="s">
        <v>146</v>
      </c>
      <c r="C109" s="17">
        <v>1.1000000000000001</v>
      </c>
      <c r="D109">
        <v>2017</v>
      </c>
      <c r="E109" t="s">
        <v>226</v>
      </c>
      <c r="F109" t="s">
        <v>4</v>
      </c>
      <c r="G109" t="s">
        <v>0</v>
      </c>
      <c r="K109" t="s">
        <v>199</v>
      </c>
      <c r="N109" s="1" t="s">
        <v>598</v>
      </c>
      <c r="O109" s="1" t="s">
        <v>599</v>
      </c>
      <c r="P109" s="3" t="s">
        <v>73</v>
      </c>
      <c r="Q109" s="3" t="s">
        <v>812</v>
      </c>
      <c r="R109" s="9" t="s">
        <v>60</v>
      </c>
      <c r="S109" s="9" t="s">
        <v>60</v>
      </c>
      <c r="T109" s="9" t="s">
        <v>60</v>
      </c>
      <c r="U109" s="9" t="s">
        <v>60</v>
      </c>
      <c r="V109" s="9" t="s">
        <v>60</v>
      </c>
      <c r="W109" s="9" t="s">
        <v>60</v>
      </c>
      <c r="X109" s="9" t="s">
        <v>60</v>
      </c>
      <c r="Y109" s="9" t="s">
        <v>60</v>
      </c>
      <c r="Z109" s="18" t="s">
        <v>60</v>
      </c>
      <c r="AA109" s="8" t="s">
        <v>98</v>
      </c>
      <c r="AB109">
        <f t="shared" si="9"/>
        <v>3</v>
      </c>
      <c r="AC109">
        <f t="shared" si="10"/>
        <v>3</v>
      </c>
      <c r="AD109">
        <f t="shared" si="11"/>
        <v>3</v>
      </c>
      <c r="AE109" t="s">
        <v>61</v>
      </c>
      <c r="AF109" t="s">
        <v>73</v>
      </c>
      <c r="AH109" t="s">
        <v>61</v>
      </c>
    </row>
    <row r="110" spans="1:34" x14ac:dyDescent="0.25">
      <c r="A110" t="s">
        <v>600</v>
      </c>
      <c r="B110" t="s">
        <v>601</v>
      </c>
      <c r="C110" s="17" t="s">
        <v>73</v>
      </c>
      <c r="D110">
        <v>2024</v>
      </c>
      <c r="E110" t="s">
        <v>2</v>
      </c>
      <c r="F110" t="s">
        <v>2</v>
      </c>
      <c r="G110" t="s">
        <v>11</v>
      </c>
      <c r="K110" t="s">
        <v>73</v>
      </c>
      <c r="N110" t="s">
        <v>73</v>
      </c>
      <c r="O110" s="1" t="s">
        <v>602</v>
      </c>
      <c r="P110" s="3" t="s">
        <v>603</v>
      </c>
      <c r="Q110" s="21" t="s">
        <v>73</v>
      </c>
      <c r="R110" s="9" t="s">
        <v>61</v>
      </c>
      <c r="S110" s="9" t="s">
        <v>60</v>
      </c>
      <c r="T110" s="9" t="s">
        <v>61</v>
      </c>
      <c r="U110" s="9" t="s">
        <v>61</v>
      </c>
      <c r="V110" s="9" t="s">
        <v>61</v>
      </c>
      <c r="W110" s="9" t="s">
        <v>61</v>
      </c>
      <c r="X110" s="9" t="s">
        <v>60</v>
      </c>
      <c r="Y110" s="9" t="s">
        <v>61</v>
      </c>
      <c r="Z110" s="18" t="s">
        <v>61</v>
      </c>
      <c r="AA110" s="8" t="s">
        <v>104</v>
      </c>
      <c r="AB110">
        <f t="shared" si="9"/>
        <v>1</v>
      </c>
      <c r="AC110">
        <f t="shared" si="10"/>
        <v>0</v>
      </c>
      <c r="AD110">
        <f t="shared" si="11"/>
        <v>1</v>
      </c>
      <c r="AE110" t="s">
        <v>61</v>
      </c>
      <c r="AF110" t="s">
        <v>73</v>
      </c>
      <c r="AH110" t="s">
        <v>61</v>
      </c>
    </row>
    <row r="111" spans="1:34" x14ac:dyDescent="0.25">
      <c r="A111" t="s">
        <v>716</v>
      </c>
      <c r="B111" t="s">
        <v>708</v>
      </c>
      <c r="C111" s="17" t="s">
        <v>73</v>
      </c>
      <c r="D111" t="s">
        <v>73</v>
      </c>
      <c r="F111" t="s">
        <v>19</v>
      </c>
      <c r="G111" t="s">
        <v>9</v>
      </c>
      <c r="K111" t="s">
        <v>73</v>
      </c>
      <c r="L111" t="s">
        <v>718</v>
      </c>
      <c r="M111" t="s">
        <v>712</v>
      </c>
      <c r="N111" s="1" t="s">
        <v>709</v>
      </c>
      <c r="O111" s="1" t="s">
        <v>714</v>
      </c>
      <c r="P111" s="3" t="s">
        <v>329</v>
      </c>
      <c r="Q111" s="3" t="s">
        <v>719</v>
      </c>
      <c r="R111" s="9" t="s">
        <v>60</v>
      </c>
      <c r="S111" s="9" t="s">
        <v>60</v>
      </c>
      <c r="T111" s="9" t="s">
        <v>60</v>
      </c>
      <c r="U111" s="9" t="s">
        <v>60</v>
      </c>
      <c r="V111" s="9" t="s">
        <v>60</v>
      </c>
      <c r="W111" s="9" t="s">
        <v>60</v>
      </c>
      <c r="X111" s="9" t="s">
        <v>60</v>
      </c>
      <c r="Y111" s="9" t="s">
        <v>60</v>
      </c>
      <c r="Z111" s="18" t="s">
        <v>60</v>
      </c>
      <c r="AA111" s="8"/>
      <c r="AB111">
        <f t="shared" si="9"/>
        <v>3</v>
      </c>
      <c r="AC111">
        <f t="shared" si="10"/>
        <v>3</v>
      </c>
      <c r="AD111">
        <f t="shared" si="11"/>
        <v>3</v>
      </c>
      <c r="AE111" t="s">
        <v>60</v>
      </c>
      <c r="AF111" t="s">
        <v>720</v>
      </c>
      <c r="AH111" t="s">
        <v>61</v>
      </c>
    </row>
    <row r="112" spans="1:34" x14ac:dyDescent="0.25">
      <c r="A112" t="s">
        <v>715</v>
      </c>
      <c r="B112" t="s">
        <v>707</v>
      </c>
      <c r="C112" s="17" t="s">
        <v>73</v>
      </c>
      <c r="D112" t="s">
        <v>73</v>
      </c>
      <c r="F112" t="s">
        <v>19</v>
      </c>
      <c r="G112" t="s">
        <v>9</v>
      </c>
      <c r="K112" t="s">
        <v>73</v>
      </c>
      <c r="L112" t="s">
        <v>717</v>
      </c>
      <c r="M112" t="s">
        <v>711</v>
      </c>
      <c r="N112" s="1" t="s">
        <v>710</v>
      </c>
      <c r="O112" s="1" t="s">
        <v>713</v>
      </c>
      <c r="P112" s="3" t="s">
        <v>329</v>
      </c>
      <c r="Q112" s="3" t="s">
        <v>719</v>
      </c>
      <c r="R112" s="9" t="s">
        <v>60</v>
      </c>
      <c r="S112" s="9" t="s">
        <v>60</v>
      </c>
      <c r="T112" s="9" t="s">
        <v>60</v>
      </c>
      <c r="U112" s="9" t="s">
        <v>60</v>
      </c>
      <c r="V112" s="9" t="s">
        <v>60</v>
      </c>
      <c r="W112" s="9" t="s">
        <v>60</v>
      </c>
      <c r="X112" s="9" t="s">
        <v>60</v>
      </c>
      <c r="Y112" s="9" t="s">
        <v>60</v>
      </c>
      <c r="Z112" s="18" t="s">
        <v>60</v>
      </c>
      <c r="AA112" s="8"/>
      <c r="AB112">
        <f t="shared" si="9"/>
        <v>3</v>
      </c>
      <c r="AC112">
        <f t="shared" si="10"/>
        <v>3</v>
      </c>
      <c r="AD112">
        <f t="shared" si="11"/>
        <v>3</v>
      </c>
      <c r="AE112" t="s">
        <v>60</v>
      </c>
      <c r="AF112" t="s">
        <v>720</v>
      </c>
      <c r="AH112" t="s">
        <v>61</v>
      </c>
    </row>
    <row r="113" spans="1:34" ht="30" x14ac:dyDescent="0.25">
      <c r="A113" t="s">
        <v>604</v>
      </c>
      <c r="B113" t="s">
        <v>329</v>
      </c>
      <c r="C113" s="17" t="s">
        <v>73</v>
      </c>
      <c r="D113">
        <v>2017</v>
      </c>
      <c r="E113" t="s">
        <v>129</v>
      </c>
      <c r="F113" t="s">
        <v>10</v>
      </c>
      <c r="K113" t="s">
        <v>73</v>
      </c>
      <c r="N113" s="1" t="s">
        <v>605</v>
      </c>
      <c r="O113" s="1" t="s">
        <v>605</v>
      </c>
      <c r="P113" s="3" t="s">
        <v>73</v>
      </c>
      <c r="Q113" s="3" t="s">
        <v>606</v>
      </c>
      <c r="R113" s="9" t="s">
        <v>60</v>
      </c>
      <c r="S113" s="9" t="s">
        <v>61</v>
      </c>
      <c r="T113" s="9" t="s">
        <v>60</v>
      </c>
      <c r="U113" s="9" t="s">
        <v>60</v>
      </c>
      <c r="V113" s="9" t="s">
        <v>60</v>
      </c>
      <c r="W113" s="9" t="s">
        <v>60</v>
      </c>
      <c r="X113" s="9" t="s">
        <v>60</v>
      </c>
      <c r="Y113" s="9" t="s">
        <v>60</v>
      </c>
      <c r="Z113" s="18" t="s">
        <v>60</v>
      </c>
      <c r="AA113" s="8" t="s">
        <v>89</v>
      </c>
      <c r="AB113">
        <f t="shared" si="9"/>
        <v>2</v>
      </c>
      <c r="AC113">
        <f t="shared" si="10"/>
        <v>3</v>
      </c>
      <c r="AD113">
        <f t="shared" si="11"/>
        <v>3</v>
      </c>
      <c r="AE113" t="s">
        <v>61</v>
      </c>
      <c r="AF113" t="s">
        <v>73</v>
      </c>
      <c r="AH113" t="s">
        <v>61</v>
      </c>
    </row>
    <row r="114" spans="1:34" x14ac:dyDescent="0.25">
      <c r="A114" t="s">
        <v>607</v>
      </c>
      <c r="B114" t="s">
        <v>571</v>
      </c>
      <c r="C114" s="17" t="s">
        <v>73</v>
      </c>
      <c r="D114">
        <v>2017</v>
      </c>
      <c r="E114" t="s">
        <v>129</v>
      </c>
      <c r="F114" t="s">
        <v>10</v>
      </c>
      <c r="K114" t="s">
        <v>73</v>
      </c>
      <c r="M114" t="s">
        <v>608</v>
      </c>
      <c r="N114" s="1" t="s">
        <v>609</v>
      </c>
      <c r="O114" s="1" t="s">
        <v>610</v>
      </c>
      <c r="P114" s="3" t="s">
        <v>329</v>
      </c>
      <c r="Q114" s="3" t="s">
        <v>611</v>
      </c>
      <c r="R114" s="9" t="s">
        <v>60</v>
      </c>
      <c r="S114" s="9" t="s">
        <v>61</v>
      </c>
      <c r="T114" s="9" t="s">
        <v>60</v>
      </c>
      <c r="U114" s="9" t="s">
        <v>60</v>
      </c>
      <c r="V114" s="9" t="s">
        <v>60</v>
      </c>
      <c r="W114" s="9" t="s">
        <v>60</v>
      </c>
      <c r="X114" s="9" t="s">
        <v>60</v>
      </c>
      <c r="Y114" s="9" t="s">
        <v>60</v>
      </c>
      <c r="Z114" s="18" t="s">
        <v>60</v>
      </c>
      <c r="AA114" s="8" t="s">
        <v>89</v>
      </c>
      <c r="AB114">
        <f t="shared" si="9"/>
        <v>2</v>
      </c>
      <c r="AC114">
        <f t="shared" si="10"/>
        <v>3</v>
      </c>
      <c r="AD114">
        <f t="shared" si="11"/>
        <v>3</v>
      </c>
      <c r="AE114" t="s">
        <v>61</v>
      </c>
      <c r="AF114" t="s">
        <v>73</v>
      </c>
      <c r="AH114" t="s">
        <v>61</v>
      </c>
    </row>
    <row r="115" spans="1:34" x14ac:dyDescent="0.25">
      <c r="A115" t="s">
        <v>612</v>
      </c>
      <c r="B115" t="s">
        <v>613</v>
      </c>
      <c r="C115" s="17" t="s">
        <v>73</v>
      </c>
      <c r="D115">
        <v>2019</v>
      </c>
      <c r="E115" t="s">
        <v>614</v>
      </c>
      <c r="F115" t="s">
        <v>0</v>
      </c>
      <c r="G115" t="s">
        <v>615</v>
      </c>
      <c r="K115" t="s">
        <v>73</v>
      </c>
      <c r="N115" s="1" t="s">
        <v>616</v>
      </c>
      <c r="O115" s="1" t="s">
        <v>617</v>
      </c>
      <c r="P115" s="3" t="s">
        <v>618</v>
      </c>
      <c r="Q115" s="3" t="s">
        <v>73</v>
      </c>
      <c r="R115" s="9" t="s">
        <v>61</v>
      </c>
      <c r="S115" s="9" t="s">
        <v>60</v>
      </c>
      <c r="T115" s="9" t="s">
        <v>60</v>
      </c>
      <c r="U115" s="9" t="s">
        <v>60</v>
      </c>
      <c r="V115" s="9" t="s">
        <v>60</v>
      </c>
      <c r="W115" s="9" t="s">
        <v>60</v>
      </c>
      <c r="X115" s="9" t="s">
        <v>60</v>
      </c>
      <c r="Y115" s="9" t="s">
        <v>61</v>
      </c>
      <c r="Z115" s="18" t="s">
        <v>61</v>
      </c>
      <c r="AA115" s="8" t="s">
        <v>89</v>
      </c>
      <c r="AB115">
        <f t="shared" si="9"/>
        <v>2</v>
      </c>
      <c r="AC115">
        <f t="shared" si="10"/>
        <v>3</v>
      </c>
      <c r="AD115">
        <f t="shared" si="11"/>
        <v>1</v>
      </c>
      <c r="AE115" t="s">
        <v>61</v>
      </c>
      <c r="AF115" t="s">
        <v>73</v>
      </c>
      <c r="AH115" t="s">
        <v>61</v>
      </c>
    </row>
    <row r="116" spans="1:34" x14ac:dyDescent="0.25">
      <c r="A116" t="s">
        <v>619</v>
      </c>
      <c r="B116" s="6" t="s">
        <v>620</v>
      </c>
      <c r="C116" s="17">
        <v>1.01</v>
      </c>
      <c r="D116">
        <v>2013</v>
      </c>
      <c r="F116" t="s">
        <v>3</v>
      </c>
      <c r="M116" t="s">
        <v>621</v>
      </c>
      <c r="N116" s="1" t="s">
        <v>622</v>
      </c>
      <c r="O116" s="1" t="s">
        <v>623</v>
      </c>
      <c r="P116" s="3" t="s">
        <v>73</v>
      </c>
      <c r="Q116" s="3" t="s">
        <v>624</v>
      </c>
      <c r="R116" s="9" t="s">
        <v>60</v>
      </c>
      <c r="S116" s="9" t="s">
        <v>61</v>
      </c>
      <c r="T116" s="9" t="s">
        <v>61</v>
      </c>
      <c r="U116" s="9" t="s">
        <v>60</v>
      </c>
      <c r="V116" s="9" t="s">
        <v>60</v>
      </c>
      <c r="W116" s="9" t="s">
        <v>61</v>
      </c>
      <c r="X116" s="9" t="s">
        <v>61</v>
      </c>
      <c r="Y116" s="9" t="s">
        <v>60</v>
      </c>
      <c r="Z116" s="18" t="s">
        <v>61</v>
      </c>
      <c r="AA116" s="8" t="s">
        <v>104</v>
      </c>
      <c r="AB116">
        <f t="shared" si="9"/>
        <v>1</v>
      </c>
      <c r="AC116">
        <f t="shared" si="10"/>
        <v>2</v>
      </c>
      <c r="AD116">
        <f t="shared" si="11"/>
        <v>1</v>
      </c>
      <c r="AE116" t="s">
        <v>61</v>
      </c>
      <c r="AF116" t="s">
        <v>73</v>
      </c>
      <c r="AH116" t="s">
        <v>61</v>
      </c>
    </row>
    <row r="117" spans="1:34" x14ac:dyDescent="0.25">
      <c r="A117" t="s">
        <v>625</v>
      </c>
      <c r="B117" s="6" t="s">
        <v>626</v>
      </c>
      <c r="C117" s="17">
        <v>1.1200000000000001</v>
      </c>
      <c r="D117">
        <v>2013</v>
      </c>
      <c r="F117" t="s">
        <v>0</v>
      </c>
      <c r="K117" t="s">
        <v>73</v>
      </c>
      <c r="M117" t="s">
        <v>627</v>
      </c>
      <c r="N117" t="s">
        <v>73</v>
      </c>
      <c r="O117" s="1" t="s">
        <v>628</v>
      </c>
      <c r="P117" s="3" t="s">
        <v>629</v>
      </c>
      <c r="Q117" s="3" t="s">
        <v>73</v>
      </c>
      <c r="R117" s="9" t="s">
        <v>61</v>
      </c>
      <c r="S117" s="9" t="s">
        <v>60</v>
      </c>
      <c r="T117" s="9" t="s">
        <v>61</v>
      </c>
      <c r="U117" s="9" t="s">
        <v>61</v>
      </c>
      <c r="V117" s="9" t="s">
        <v>60</v>
      </c>
      <c r="W117" s="9" t="s">
        <v>61</v>
      </c>
      <c r="X117" s="9" t="s">
        <v>61</v>
      </c>
      <c r="Y117" s="9" t="s">
        <v>61</v>
      </c>
      <c r="Z117" s="9" t="s">
        <v>61</v>
      </c>
      <c r="AA117" s="8" t="s">
        <v>78</v>
      </c>
      <c r="AB117">
        <f t="shared" si="9"/>
        <v>1</v>
      </c>
      <c r="AC117">
        <f t="shared" si="10"/>
        <v>1</v>
      </c>
      <c r="AD117">
        <f t="shared" si="11"/>
        <v>0</v>
      </c>
      <c r="AE117" t="s">
        <v>61</v>
      </c>
      <c r="AF117" t="s">
        <v>73</v>
      </c>
      <c r="AG117">
        <v>15</v>
      </c>
      <c r="AH117" t="s">
        <v>60</v>
      </c>
    </row>
    <row r="118" spans="1:34" x14ac:dyDescent="0.25">
      <c r="A118" t="s">
        <v>630</v>
      </c>
      <c r="B118" s="6" t="s">
        <v>631</v>
      </c>
      <c r="C118" s="17">
        <v>1.03</v>
      </c>
      <c r="D118">
        <v>2013</v>
      </c>
      <c r="F118" t="s">
        <v>4</v>
      </c>
      <c r="M118" t="s">
        <v>632</v>
      </c>
      <c r="N118" s="1" t="s">
        <v>622</v>
      </c>
      <c r="O118" s="1" t="s">
        <v>633</v>
      </c>
      <c r="P118" s="3" t="s">
        <v>73</v>
      </c>
      <c r="Q118" s="3" t="s">
        <v>624</v>
      </c>
      <c r="R118" s="9" t="s">
        <v>60</v>
      </c>
      <c r="S118" s="9" t="s">
        <v>61</v>
      </c>
      <c r="T118" s="9" t="s">
        <v>61</v>
      </c>
      <c r="U118" s="9" t="s">
        <v>60</v>
      </c>
      <c r="V118" s="9" t="s">
        <v>60</v>
      </c>
      <c r="W118" s="9" t="s">
        <v>61</v>
      </c>
      <c r="X118" s="9" t="s">
        <v>61</v>
      </c>
      <c r="Y118" s="9" t="s">
        <v>60</v>
      </c>
      <c r="Z118" s="18" t="s">
        <v>61</v>
      </c>
      <c r="AA118" s="8" t="s">
        <v>104</v>
      </c>
      <c r="AB118">
        <f t="shared" si="9"/>
        <v>1</v>
      </c>
      <c r="AC118">
        <f t="shared" si="10"/>
        <v>2</v>
      </c>
      <c r="AD118">
        <f t="shared" si="11"/>
        <v>1</v>
      </c>
      <c r="AE118" t="s">
        <v>61</v>
      </c>
      <c r="AF118" t="s">
        <v>73</v>
      </c>
      <c r="AH118" t="s">
        <v>61</v>
      </c>
    </row>
    <row r="119" spans="1:34" x14ac:dyDescent="0.25">
      <c r="A119" t="s">
        <v>634</v>
      </c>
      <c r="B119" s="6" t="s">
        <v>635</v>
      </c>
      <c r="C119" s="17">
        <v>1.1399999999999999</v>
      </c>
      <c r="D119">
        <v>2013</v>
      </c>
      <c r="F119" t="s">
        <v>4</v>
      </c>
      <c r="M119" t="s">
        <v>636</v>
      </c>
      <c r="N119" s="1" t="s">
        <v>622</v>
      </c>
      <c r="O119" s="1" t="s">
        <v>637</v>
      </c>
      <c r="P119" s="3" t="s">
        <v>73</v>
      </c>
      <c r="Q119" s="3" t="s">
        <v>624</v>
      </c>
      <c r="R119" s="9" t="s">
        <v>60</v>
      </c>
      <c r="S119" s="9" t="s">
        <v>61</v>
      </c>
      <c r="T119" s="9" t="s">
        <v>60</v>
      </c>
      <c r="U119" s="9" t="s">
        <v>61</v>
      </c>
      <c r="V119" s="9" t="s">
        <v>60</v>
      </c>
      <c r="W119" s="9" t="s">
        <v>61</v>
      </c>
      <c r="X119" s="9" t="s">
        <v>61</v>
      </c>
      <c r="Y119" s="9" t="s">
        <v>60</v>
      </c>
      <c r="Z119" s="18" t="s">
        <v>60</v>
      </c>
      <c r="AA119" s="8" t="s">
        <v>98</v>
      </c>
      <c r="AB119">
        <f t="shared" si="9"/>
        <v>2</v>
      </c>
      <c r="AC119">
        <f t="shared" si="10"/>
        <v>1</v>
      </c>
      <c r="AD119">
        <f t="shared" si="11"/>
        <v>2</v>
      </c>
      <c r="AE119" t="s">
        <v>61</v>
      </c>
      <c r="AF119" t="s">
        <v>73</v>
      </c>
      <c r="AH119" t="s">
        <v>61</v>
      </c>
    </row>
    <row r="120" spans="1:34" x14ac:dyDescent="0.25">
      <c r="A120" t="s">
        <v>745</v>
      </c>
      <c r="B120" s="6" t="s">
        <v>746</v>
      </c>
      <c r="C120" s="17">
        <v>1.1200000000000001</v>
      </c>
      <c r="D120">
        <v>2013</v>
      </c>
      <c r="F120" t="s">
        <v>0</v>
      </c>
      <c r="K120" t="s">
        <v>73</v>
      </c>
      <c r="M120" t="s">
        <v>747</v>
      </c>
      <c r="O120" s="1" t="s">
        <v>628</v>
      </c>
      <c r="Q120" s="3" t="s">
        <v>73</v>
      </c>
      <c r="R120" s="9" t="s">
        <v>61</v>
      </c>
      <c r="S120" s="9" t="s">
        <v>61</v>
      </c>
      <c r="T120" s="9" t="s">
        <v>61</v>
      </c>
      <c r="U120" s="9" t="s">
        <v>61</v>
      </c>
      <c r="V120" s="9" t="s">
        <v>60</v>
      </c>
      <c r="W120" s="9" t="s">
        <v>61</v>
      </c>
      <c r="X120" s="9" t="s">
        <v>61</v>
      </c>
      <c r="Y120" s="9" t="s">
        <v>61</v>
      </c>
      <c r="Z120" s="18" t="s">
        <v>60</v>
      </c>
      <c r="AA120" s="8"/>
      <c r="AB120">
        <f t="shared" si="9"/>
        <v>0</v>
      </c>
      <c r="AC120">
        <f t="shared" si="10"/>
        <v>1</v>
      </c>
      <c r="AD120">
        <f t="shared" si="11"/>
        <v>1</v>
      </c>
    </row>
    <row r="121" spans="1:34" x14ac:dyDescent="0.25">
      <c r="A121" t="s">
        <v>638</v>
      </c>
      <c r="B121" s="6" t="s">
        <v>639</v>
      </c>
      <c r="C121" s="17">
        <v>1.03</v>
      </c>
      <c r="D121">
        <v>2013</v>
      </c>
      <c r="F121" t="s">
        <v>18</v>
      </c>
      <c r="M121" t="s">
        <v>640</v>
      </c>
      <c r="N121" s="1" t="s">
        <v>622</v>
      </c>
      <c r="O121" s="1" t="s">
        <v>641</v>
      </c>
      <c r="P121" s="3" t="s">
        <v>73</v>
      </c>
      <c r="Q121" s="3" t="s">
        <v>624</v>
      </c>
      <c r="R121" s="9" t="s">
        <v>60</v>
      </c>
      <c r="S121" s="9" t="s">
        <v>61</v>
      </c>
      <c r="T121" s="9" t="s">
        <v>60</v>
      </c>
      <c r="U121" s="9" t="s">
        <v>61</v>
      </c>
      <c r="V121" s="9" t="s">
        <v>60</v>
      </c>
      <c r="W121" s="9" t="s">
        <v>61</v>
      </c>
      <c r="X121" s="9" t="s">
        <v>61</v>
      </c>
      <c r="Y121" s="9" t="s">
        <v>61</v>
      </c>
      <c r="Z121" s="18" t="s">
        <v>61</v>
      </c>
      <c r="AA121" s="8" t="s">
        <v>98</v>
      </c>
      <c r="AB121">
        <f t="shared" si="9"/>
        <v>2</v>
      </c>
      <c r="AC121">
        <f t="shared" si="10"/>
        <v>1</v>
      </c>
      <c r="AD121">
        <f t="shared" si="11"/>
        <v>0</v>
      </c>
      <c r="AE121" t="s">
        <v>61</v>
      </c>
      <c r="AF121" t="s">
        <v>73</v>
      </c>
      <c r="AH121" t="s">
        <v>61</v>
      </c>
    </row>
    <row r="122" spans="1:34" x14ac:dyDescent="0.25">
      <c r="A122" t="s">
        <v>642</v>
      </c>
      <c r="B122" t="s">
        <v>643</v>
      </c>
      <c r="C122" s="17" t="s">
        <v>73</v>
      </c>
      <c r="D122">
        <v>2009</v>
      </c>
      <c r="F122" t="s">
        <v>12</v>
      </c>
      <c r="K122" t="s">
        <v>73</v>
      </c>
      <c r="M122" t="s">
        <v>644</v>
      </c>
      <c r="N122" t="s">
        <v>73</v>
      </c>
      <c r="O122" s="1" t="s">
        <v>645</v>
      </c>
      <c r="P122" s="3" t="s">
        <v>73</v>
      </c>
      <c r="Q122" s="3" t="s">
        <v>73</v>
      </c>
      <c r="R122" s="9" t="s">
        <v>61</v>
      </c>
      <c r="S122" s="9" t="s">
        <v>61</v>
      </c>
      <c r="T122" s="9" t="s">
        <v>61</v>
      </c>
      <c r="U122" s="9" t="s">
        <v>60</v>
      </c>
      <c r="V122" s="9" t="s">
        <v>61</v>
      </c>
      <c r="W122" s="9" t="s">
        <v>61</v>
      </c>
      <c r="X122" s="9" t="s">
        <v>60</v>
      </c>
      <c r="Y122" s="9" t="s">
        <v>61</v>
      </c>
      <c r="Z122" s="18" t="s">
        <v>61</v>
      </c>
      <c r="AA122" s="8" t="s">
        <v>104</v>
      </c>
      <c r="AB122">
        <f t="shared" si="9"/>
        <v>0</v>
      </c>
      <c r="AC122">
        <f t="shared" si="10"/>
        <v>1</v>
      </c>
      <c r="AD122">
        <f t="shared" si="11"/>
        <v>1</v>
      </c>
      <c r="AE122" t="s">
        <v>61</v>
      </c>
      <c r="AF122" t="s">
        <v>73</v>
      </c>
      <c r="AH122" t="s">
        <v>61</v>
      </c>
    </row>
    <row r="123" spans="1:34" x14ac:dyDescent="0.25">
      <c r="A123" s="5" t="s">
        <v>687</v>
      </c>
      <c r="B123" t="s">
        <v>688</v>
      </c>
      <c r="C123" s="17" t="s">
        <v>73</v>
      </c>
      <c r="D123">
        <v>2024</v>
      </c>
      <c r="F123" t="s">
        <v>17</v>
      </c>
      <c r="K123" t="s">
        <v>191</v>
      </c>
      <c r="M123" t="s">
        <v>689</v>
      </c>
      <c r="N123" s="1" t="s">
        <v>690</v>
      </c>
      <c r="O123" s="1" t="s">
        <v>691</v>
      </c>
      <c r="P123" s="3" t="s">
        <v>692</v>
      </c>
      <c r="Q123" s="3" t="s">
        <v>693</v>
      </c>
      <c r="R123" s="9" t="s">
        <v>60</v>
      </c>
      <c r="S123" s="9" t="s">
        <v>60</v>
      </c>
      <c r="T123" s="9" t="s">
        <v>60</v>
      </c>
      <c r="U123" s="9" t="s">
        <v>60</v>
      </c>
      <c r="V123" s="9" t="s">
        <v>60</v>
      </c>
      <c r="W123" s="9" t="s">
        <v>60</v>
      </c>
      <c r="X123" s="9" t="s">
        <v>60</v>
      </c>
      <c r="Y123" s="9" t="s">
        <v>60</v>
      </c>
      <c r="Z123" s="18" t="s">
        <v>61</v>
      </c>
      <c r="AA123" s="8"/>
      <c r="AB123">
        <f t="shared" si="9"/>
        <v>3</v>
      </c>
      <c r="AC123">
        <f t="shared" si="10"/>
        <v>3</v>
      </c>
      <c r="AD123">
        <f t="shared" si="11"/>
        <v>2</v>
      </c>
      <c r="AE123" t="s">
        <v>61</v>
      </c>
      <c r="AF123" t="s">
        <v>73</v>
      </c>
      <c r="AH123" t="s">
        <v>61</v>
      </c>
    </row>
    <row r="124" spans="1:34" x14ac:dyDescent="0.25">
      <c r="A124" t="s">
        <v>646</v>
      </c>
      <c r="B124" t="s">
        <v>647</v>
      </c>
      <c r="C124" s="17" t="s">
        <v>73</v>
      </c>
      <c r="D124">
        <v>2009</v>
      </c>
      <c r="F124" t="s">
        <v>12</v>
      </c>
      <c r="K124" t="s">
        <v>73</v>
      </c>
      <c r="M124" t="s">
        <v>648</v>
      </c>
      <c r="N124" t="s">
        <v>73</v>
      </c>
      <c r="O124" s="1" t="s">
        <v>649</v>
      </c>
      <c r="P124" s="3" t="s">
        <v>73</v>
      </c>
      <c r="Q124" s="3" t="s">
        <v>73</v>
      </c>
      <c r="R124" s="9" t="s">
        <v>61</v>
      </c>
      <c r="S124" s="9" t="s">
        <v>61</v>
      </c>
      <c r="T124" s="9" t="s">
        <v>61</v>
      </c>
      <c r="U124" s="9" t="s">
        <v>60</v>
      </c>
      <c r="V124" s="9" t="s">
        <v>61</v>
      </c>
      <c r="W124" s="9" t="s">
        <v>61</v>
      </c>
      <c r="X124" s="9" t="s">
        <v>60</v>
      </c>
      <c r="Y124" s="9" t="s">
        <v>61</v>
      </c>
      <c r="Z124" s="18"/>
      <c r="AA124" s="8" t="s">
        <v>98</v>
      </c>
      <c r="AB124">
        <f t="shared" si="9"/>
        <v>0</v>
      </c>
      <c r="AC124">
        <f t="shared" si="10"/>
        <v>1</v>
      </c>
      <c r="AD124">
        <f t="shared" si="11"/>
        <v>1</v>
      </c>
      <c r="AE124" t="s">
        <v>61</v>
      </c>
      <c r="AF124" t="s">
        <v>73</v>
      </c>
      <c r="AH124" t="s">
        <v>61</v>
      </c>
    </row>
    <row r="125" spans="1:34" x14ac:dyDescent="0.25">
      <c r="A125" t="s">
        <v>650</v>
      </c>
      <c r="B125" t="s">
        <v>651</v>
      </c>
      <c r="C125" s="17" t="s">
        <v>73</v>
      </c>
      <c r="D125">
        <v>2020</v>
      </c>
      <c r="E125" t="s">
        <v>652</v>
      </c>
      <c r="F125" t="s">
        <v>18</v>
      </c>
      <c r="K125" t="s">
        <v>54</v>
      </c>
      <c r="M125" t="s">
        <v>653</v>
      </c>
      <c r="N125" s="2" t="s">
        <v>654</v>
      </c>
      <c r="O125" s="1" t="s">
        <v>57</v>
      </c>
      <c r="P125" s="3" t="s">
        <v>655</v>
      </c>
      <c r="Q125" s="3" t="s">
        <v>758</v>
      </c>
      <c r="R125" s="9" t="s">
        <v>60</v>
      </c>
      <c r="S125" s="9" t="s">
        <v>60</v>
      </c>
      <c r="T125" s="9" t="s">
        <v>61</v>
      </c>
      <c r="U125" s="9" t="s">
        <v>60</v>
      </c>
      <c r="V125" s="9" t="s">
        <v>60</v>
      </c>
      <c r="W125" s="9" t="s">
        <v>60</v>
      </c>
      <c r="X125" s="9" t="s">
        <v>60</v>
      </c>
      <c r="Y125" s="9" t="s">
        <v>60</v>
      </c>
      <c r="Z125" s="18" t="s">
        <v>61</v>
      </c>
      <c r="AA125" s="8" t="s">
        <v>62</v>
      </c>
      <c r="AB125">
        <f t="shared" si="9"/>
        <v>2</v>
      </c>
      <c r="AC125">
        <f t="shared" si="10"/>
        <v>3</v>
      </c>
      <c r="AD125">
        <f t="shared" si="11"/>
        <v>2</v>
      </c>
      <c r="AE125" t="s">
        <v>60</v>
      </c>
      <c r="AF125" t="s">
        <v>64</v>
      </c>
      <c r="AG125">
        <v>30</v>
      </c>
      <c r="AH125" t="s">
        <v>61</v>
      </c>
    </row>
    <row r="126" spans="1:34" x14ac:dyDescent="0.25">
      <c r="A126" t="s">
        <v>661</v>
      </c>
      <c r="B126" s="6"/>
      <c r="C126" s="17" t="s">
        <v>73</v>
      </c>
      <c r="D126">
        <v>2020</v>
      </c>
      <c r="E126" t="s">
        <v>502</v>
      </c>
      <c r="F126" t="s">
        <v>0</v>
      </c>
      <c r="K126" t="s">
        <v>662</v>
      </c>
      <c r="M126" t="s">
        <v>663</v>
      </c>
      <c r="N126" t="s">
        <v>73</v>
      </c>
      <c r="O126" s="1" t="s">
        <v>664</v>
      </c>
      <c r="P126" s="3" t="s">
        <v>73</v>
      </c>
      <c r="Q126" s="3" t="s">
        <v>73</v>
      </c>
      <c r="R126" s="9" t="s">
        <v>61</v>
      </c>
      <c r="S126" s="9" t="s">
        <v>61</v>
      </c>
      <c r="T126" s="9" t="s">
        <v>61</v>
      </c>
      <c r="U126" s="9" t="s">
        <v>60</v>
      </c>
      <c r="V126" s="9" t="s">
        <v>60</v>
      </c>
      <c r="W126" s="9" t="s">
        <v>61</v>
      </c>
      <c r="X126" s="9" t="s">
        <v>61</v>
      </c>
      <c r="Y126" s="9" t="s">
        <v>61</v>
      </c>
      <c r="Z126" s="18" t="s">
        <v>61</v>
      </c>
      <c r="AA126" s="8" t="s">
        <v>104</v>
      </c>
      <c r="AB126">
        <f t="shared" si="9"/>
        <v>0</v>
      </c>
      <c r="AC126">
        <f t="shared" si="10"/>
        <v>2</v>
      </c>
      <c r="AD126">
        <f t="shared" si="11"/>
        <v>0</v>
      </c>
      <c r="AE126" t="s">
        <v>61</v>
      </c>
      <c r="AF126" t="s">
        <v>73</v>
      </c>
      <c r="AH126" t="s">
        <v>61</v>
      </c>
    </row>
    <row r="127" spans="1:34" x14ac:dyDescent="0.25">
      <c r="A127" t="s">
        <v>831</v>
      </c>
      <c r="B127" t="s">
        <v>831</v>
      </c>
      <c r="C127" s="17">
        <v>1.1000000000000001</v>
      </c>
      <c r="D127">
        <v>2023</v>
      </c>
      <c r="F127" t="s">
        <v>7</v>
      </c>
      <c r="K127" t="s">
        <v>832</v>
      </c>
      <c r="L127" t="s">
        <v>832</v>
      </c>
      <c r="N127" s="22" t="s">
        <v>834</v>
      </c>
      <c r="O127" s="1" t="s">
        <v>835</v>
      </c>
      <c r="Q127" s="20"/>
      <c r="R127" s="9" t="s">
        <v>60</v>
      </c>
      <c r="S127" s="9" t="s">
        <v>61</v>
      </c>
      <c r="T127" s="9" t="s">
        <v>61</v>
      </c>
      <c r="U127" s="9" t="s">
        <v>61</v>
      </c>
      <c r="V127" s="9" t="s">
        <v>60</v>
      </c>
      <c r="W127" s="9" t="s">
        <v>60</v>
      </c>
      <c r="X127" s="9" t="s">
        <v>60</v>
      </c>
      <c r="Y127" s="9" t="s">
        <v>60</v>
      </c>
      <c r="Z127" s="18" t="s">
        <v>60</v>
      </c>
      <c r="AA127" s="8"/>
      <c r="AB127">
        <f>COUNTIF(R127:T127, "yes")</f>
        <v>1</v>
      </c>
      <c r="AC127">
        <f>COUNTIF(U127:W127, "yes")</f>
        <v>2</v>
      </c>
      <c r="AD127">
        <f>COUNTIF(X127:Z127, "yes")</f>
        <v>3</v>
      </c>
      <c r="AE127" t="s">
        <v>61</v>
      </c>
      <c r="AF127" t="s">
        <v>73</v>
      </c>
    </row>
    <row r="128" spans="1:34" x14ac:dyDescent="0.25">
      <c r="A128" t="s">
        <v>836</v>
      </c>
      <c r="B128" t="s">
        <v>837</v>
      </c>
      <c r="C128" s="17">
        <v>0.2</v>
      </c>
      <c r="D128">
        <v>2024</v>
      </c>
      <c r="F128" t="s">
        <v>14</v>
      </c>
      <c r="K128" t="s">
        <v>54</v>
      </c>
      <c r="M128" t="s">
        <v>838</v>
      </c>
      <c r="N128" s="1" t="s">
        <v>839</v>
      </c>
      <c r="O128" s="1" t="s">
        <v>840</v>
      </c>
      <c r="P128" s="3" t="s">
        <v>851</v>
      </c>
      <c r="Q128" s="3" t="s">
        <v>844</v>
      </c>
      <c r="R128" s="9" t="s">
        <v>60</v>
      </c>
      <c r="S128" s="9" t="s">
        <v>60</v>
      </c>
      <c r="T128" s="9" t="s">
        <v>61</v>
      </c>
      <c r="U128" s="23" t="s">
        <v>60</v>
      </c>
      <c r="V128" s="9" t="s">
        <v>60</v>
      </c>
      <c r="W128" s="9" t="s">
        <v>60</v>
      </c>
      <c r="X128" s="9" t="s">
        <v>61</v>
      </c>
      <c r="Y128" s="9" t="s">
        <v>61</v>
      </c>
      <c r="Z128" s="18" t="s">
        <v>61</v>
      </c>
      <c r="AA128" s="8"/>
      <c r="AB128">
        <f t="shared" ref="AB128:AB131" si="12">COUNTIF(R128:T128, "yes")</f>
        <v>2</v>
      </c>
      <c r="AC128">
        <f t="shared" ref="AC128:AC131" si="13">COUNTIF(U128:W128, "yes")</f>
        <v>3</v>
      </c>
      <c r="AD128">
        <f t="shared" ref="AD128:AD131" si="14">COUNTIF(X128:Z128, "yes")</f>
        <v>0</v>
      </c>
      <c r="AE128" t="s">
        <v>60</v>
      </c>
      <c r="AF128" t="s">
        <v>849</v>
      </c>
    </row>
    <row r="129" spans="1:32" x14ac:dyDescent="0.25">
      <c r="A129" t="s">
        <v>841</v>
      </c>
      <c r="B129" t="s">
        <v>842</v>
      </c>
      <c r="C129" s="17">
        <v>0.2</v>
      </c>
      <c r="D129">
        <v>2024</v>
      </c>
      <c r="F129" t="s">
        <v>16</v>
      </c>
      <c r="K129" t="s">
        <v>54</v>
      </c>
      <c r="M129" t="s">
        <v>845</v>
      </c>
      <c r="N129" s="1" t="s">
        <v>843</v>
      </c>
      <c r="O129" s="1" t="s">
        <v>840</v>
      </c>
      <c r="P129" s="3" t="s">
        <v>852</v>
      </c>
      <c r="Q129" s="3" t="s">
        <v>844</v>
      </c>
      <c r="R129" s="9" t="s">
        <v>60</v>
      </c>
      <c r="S129" s="9" t="s">
        <v>60</v>
      </c>
      <c r="T129" s="9" t="s">
        <v>61</v>
      </c>
      <c r="U129" s="23" t="s">
        <v>60</v>
      </c>
      <c r="V129" s="9" t="s">
        <v>60</v>
      </c>
      <c r="W129" s="9" t="s">
        <v>60</v>
      </c>
      <c r="X129" s="9" t="s">
        <v>61</v>
      </c>
      <c r="Y129" s="9" t="s">
        <v>61</v>
      </c>
      <c r="Z129" s="18" t="s">
        <v>60</v>
      </c>
      <c r="AA129" s="8"/>
      <c r="AB129">
        <f t="shared" si="12"/>
        <v>2</v>
      </c>
      <c r="AC129">
        <f t="shared" si="13"/>
        <v>3</v>
      </c>
      <c r="AD129">
        <f t="shared" si="14"/>
        <v>1</v>
      </c>
      <c r="AE129" t="s">
        <v>60</v>
      </c>
      <c r="AF129" t="s">
        <v>849</v>
      </c>
    </row>
    <row r="130" spans="1:32" x14ac:dyDescent="0.25">
      <c r="A130" t="s">
        <v>847</v>
      </c>
      <c r="B130" t="s">
        <v>846</v>
      </c>
      <c r="C130" s="17">
        <v>0.2</v>
      </c>
      <c r="D130">
        <v>2024</v>
      </c>
      <c r="F130" t="s">
        <v>665</v>
      </c>
      <c r="K130" t="s">
        <v>54</v>
      </c>
      <c r="M130" t="s">
        <v>859</v>
      </c>
      <c r="N130" s="1" t="s">
        <v>850</v>
      </c>
      <c r="O130" s="1" t="s">
        <v>840</v>
      </c>
      <c r="P130" s="3" t="s">
        <v>848</v>
      </c>
      <c r="Q130" s="3" t="s">
        <v>844</v>
      </c>
      <c r="R130" s="9" t="s">
        <v>60</v>
      </c>
      <c r="S130" s="9" t="s">
        <v>60</v>
      </c>
      <c r="T130" s="9" t="s">
        <v>61</v>
      </c>
      <c r="U130" s="23" t="s">
        <v>60</v>
      </c>
      <c r="V130" s="9" t="s">
        <v>60</v>
      </c>
      <c r="W130" s="9" t="s">
        <v>60</v>
      </c>
      <c r="X130" s="9" t="s">
        <v>61</v>
      </c>
      <c r="Y130" s="9" t="s">
        <v>61</v>
      </c>
      <c r="Z130" s="18" t="s">
        <v>60</v>
      </c>
      <c r="AA130" s="8"/>
      <c r="AB130">
        <f t="shared" si="12"/>
        <v>2</v>
      </c>
      <c r="AC130">
        <f t="shared" si="13"/>
        <v>3</v>
      </c>
      <c r="AD130">
        <f t="shared" si="14"/>
        <v>1</v>
      </c>
      <c r="AE130" t="s">
        <v>60</v>
      </c>
      <c r="AF130" t="s">
        <v>849</v>
      </c>
    </row>
    <row r="131" spans="1:32" x14ac:dyDescent="0.25">
      <c r="A131" t="s">
        <v>853</v>
      </c>
      <c r="B131" t="s">
        <v>854</v>
      </c>
      <c r="C131" s="17" t="s">
        <v>318</v>
      </c>
      <c r="D131">
        <v>2024</v>
      </c>
      <c r="F131" t="s">
        <v>8</v>
      </c>
      <c r="K131" t="s">
        <v>191</v>
      </c>
      <c r="M131" t="s">
        <v>855</v>
      </c>
      <c r="N131" s="1" t="s">
        <v>856</v>
      </c>
      <c r="O131" s="1" t="s">
        <v>857</v>
      </c>
      <c r="P131" s="3" t="s">
        <v>73</v>
      </c>
      <c r="Q131" s="3" t="s">
        <v>858</v>
      </c>
      <c r="R131" s="9" t="s">
        <v>60</v>
      </c>
      <c r="S131" s="9" t="s">
        <v>61</v>
      </c>
      <c r="T131" s="9" t="s">
        <v>61</v>
      </c>
      <c r="U131" s="9" t="s">
        <v>60</v>
      </c>
      <c r="V131" s="9" t="s">
        <v>60</v>
      </c>
      <c r="W131" s="9" t="s">
        <v>60</v>
      </c>
      <c r="X131" s="9" t="s">
        <v>60</v>
      </c>
      <c r="Y131" s="9" t="s">
        <v>60</v>
      </c>
      <c r="Z131" s="18" t="s">
        <v>61</v>
      </c>
      <c r="AA131" s="8"/>
      <c r="AB131">
        <f t="shared" si="12"/>
        <v>1</v>
      </c>
      <c r="AC131">
        <f t="shared" si="13"/>
        <v>3</v>
      </c>
      <c r="AD131">
        <f t="shared" si="14"/>
        <v>2</v>
      </c>
    </row>
  </sheetData>
  <phoneticPr fontId="4" type="noConversion"/>
  <dataValidations count="1">
    <dataValidation type="list" allowBlank="1" showInputMessage="1" showErrorMessage="1" sqref="F2:G2 F4:G25 F27:G120 F121:F131" xr:uid="{54FEA7E7-B503-4583-B7B9-ED02FA3CD165}">
      <formula1>#REF!</formula1>
    </dataValidation>
  </dataValidations>
  <hyperlinks>
    <hyperlink ref="O3" r:id="rId1" xr:uid="{78F85862-50CA-4DFE-BA27-24B020CDCA3F}"/>
    <hyperlink ref="O9" r:id="rId2" xr:uid="{7E7CEAD7-4929-4BE4-AAEB-FBA14DFBDD50}"/>
    <hyperlink ref="O13" r:id="rId3" location="s0035" xr:uid="{BC05914A-5E5E-4300-AC02-8638A6F1A5B3}"/>
    <hyperlink ref="O43" r:id="rId4" xr:uid="{10C4F826-C939-4498-A8A3-BF5FD764AE63}"/>
    <hyperlink ref="N48" r:id="rId5" xr:uid="{0697A09A-FCB6-44D4-B576-3107A919D348}"/>
    <hyperlink ref="N55" r:id="rId6" xr:uid="{EAC941A4-A5E8-43D3-ADF9-6021B1D498AB}"/>
    <hyperlink ref="O55" r:id="rId7" xr:uid="{E6418FDC-E286-4132-B0E9-E07316E00EA9}"/>
    <hyperlink ref="N8" r:id="rId8" xr:uid="{96EDD7BD-A7DE-4C1B-A113-6187AD5FD881}"/>
    <hyperlink ref="N19" r:id="rId9" xr:uid="{B5550E26-FDF1-44C1-B405-F3538CC85D60}"/>
    <hyperlink ref="N87" r:id="rId10" xr:uid="{F0884335-FE32-426C-BFDD-E2334F14660D}"/>
    <hyperlink ref="O84" r:id="rId11" xr:uid="{5EF8E520-7A3F-44EC-A8E1-6A5C0C87485A}"/>
    <hyperlink ref="N44" r:id="rId12" xr:uid="{0E8DDB57-451B-45C1-9AE2-1297278067E0}"/>
    <hyperlink ref="O107" r:id="rId13" xr:uid="{232BDB1C-908D-4757-A0D8-C0E4202A4CC8}"/>
    <hyperlink ref="N115" r:id="rId14" xr:uid="{5E78CDFF-24A0-46A4-999C-BB59B2B1C022}"/>
    <hyperlink ref="O115" r:id="rId15" location="f0020" xr:uid="{9A101CAC-3E4E-4FE0-8C1F-F66AAAA0DC2F}"/>
    <hyperlink ref="O76" r:id="rId16" xr:uid="{86A5DD30-10C5-4160-A5BF-D1801CEFA817}"/>
    <hyperlink ref="N114" r:id="rId17" xr:uid="{4458BCD0-C333-4EEF-ABF6-3D928F911827}"/>
    <hyperlink ref="O103" r:id="rId18" xr:uid="{EC55B086-BCED-47D9-8FE6-7CCD3380B6EF}"/>
    <hyperlink ref="N49" r:id="rId19" xr:uid="{144DD13A-F0E5-498C-90F5-88A2FD6DEA1F}"/>
    <hyperlink ref="N3" r:id="rId20" xr:uid="{F0E54000-716E-4747-9567-745BDA43AFD3}"/>
    <hyperlink ref="N32" r:id="rId21" xr:uid="{AC9146EB-8383-471E-9EBF-148651804624}"/>
    <hyperlink ref="N38" r:id="rId22" xr:uid="{C6651044-A196-4EE7-A7FE-12EAE624E060}"/>
    <hyperlink ref="O38" r:id="rId23" xr:uid="{5380206B-7839-4EE4-BC56-519C6CAC06AD}"/>
    <hyperlink ref="O121" r:id="rId24" xr:uid="{2AABD24C-26A7-4B3E-9CD3-A23BE96B79BB}"/>
    <hyperlink ref="N5" r:id="rId25" xr:uid="{32320392-394D-4C48-8140-30284C9388F1}"/>
    <hyperlink ref="N61" r:id="rId26" xr:uid="{88A7D382-C4B2-48A1-B84A-37DED9A846FF}"/>
    <hyperlink ref="O117" r:id="rId27" xr:uid="{143846C3-024B-4D1C-89F7-1C7EFF074580}"/>
    <hyperlink ref="O12" r:id="rId28" location="s0035" xr:uid="{02513146-762C-4759-8541-77C369040CE2}"/>
    <hyperlink ref="O122" r:id="rId29" xr:uid="{57B4FD60-751B-46AA-9362-4D1D62DFF859}"/>
    <hyperlink ref="O124" r:id="rId30" xr:uid="{7AC6F5DD-D6BE-4E40-87AD-011476C12118}"/>
    <hyperlink ref="N105" r:id="rId31" xr:uid="{D23D156B-B9BC-44EB-88C7-20CFD2F8C77C}"/>
    <hyperlink ref="O105" r:id="rId32" xr:uid="{1D6F4DA0-CC7A-4319-A126-FF40E2FDEA5A}"/>
    <hyperlink ref="O126" r:id="rId33" xr:uid="{25A66588-5090-4D9B-A017-7F5B2A14062F}"/>
    <hyperlink ref="N15" r:id="rId34" xr:uid="{C8D802F1-C1EC-404B-8227-CFA3AA98148E}"/>
    <hyperlink ref="O23" r:id="rId35" xr:uid="{38A394AF-D753-4AB9-AF99-4CE66AB7F191}"/>
    <hyperlink ref="N27" r:id="rId36" xr:uid="{4168F030-70D5-4989-9119-2475009362E1}"/>
    <hyperlink ref="O27" r:id="rId37" xr:uid="{5A92DAC5-EC7E-4D29-95AB-4823CEAB5BDA}"/>
    <hyperlink ref="N34" r:id="rId38" xr:uid="{6D6E46C7-CF24-494C-8AEB-8E8DA672C3EA}"/>
    <hyperlink ref="O42" r:id="rId39" xr:uid="{BA070329-49D5-4F78-B73D-25722BAB6BF2}"/>
    <hyperlink ref="N46" r:id="rId40" xr:uid="{14A3D751-75C2-4733-B863-159021B6268F}"/>
    <hyperlink ref="N51" r:id="rId41" xr:uid="{C94D9E15-CCEE-4789-A85A-30F6F2687DDB}"/>
    <hyperlink ref="N64" r:id="rId42" xr:uid="{5295A881-8A97-4DCA-B4FF-5340FC387BB0}"/>
    <hyperlink ref="N4" r:id="rId43" xr:uid="{93620433-4257-4E22-8C56-7210E438F4C0}"/>
    <hyperlink ref="O4" r:id="rId44" xr:uid="{DFF8E0C9-2683-4CE7-84CB-ABD2843D367F}"/>
    <hyperlink ref="N66" r:id="rId45" xr:uid="{C234CDD0-279D-4208-B561-B9C90652DCA5}"/>
    <hyperlink ref="N75" r:id="rId46" xr:uid="{4C9CB35A-98B5-4DC0-9E00-2B53DFA1EEB8}"/>
    <hyperlink ref="O113" r:id="rId47" xr:uid="{7932F0E4-7F39-4C8A-B2DE-DEE5226F1E69}"/>
    <hyperlink ref="O83" r:id="rId48" xr:uid="{74172E97-9606-46E4-9B69-BA8290FCC58B}"/>
    <hyperlink ref="O110" r:id="rId49" xr:uid="{AF5B27F4-908C-4604-9FE5-C28D135D5B9A}"/>
    <hyperlink ref="O118" r:id="rId50" xr:uid="{84C5678B-A0E7-4081-9DF7-0CD90C6B476F}"/>
    <hyperlink ref="O91" r:id="rId51" xr:uid="{8328828A-CF10-4057-9A80-E5A6B7F0807B}"/>
    <hyperlink ref="N116" r:id="rId52" xr:uid="{95D7483E-CB10-4C16-9099-FE490CD59B61}"/>
    <hyperlink ref="O116"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2" r:id="rId59" xr:uid="{4625C1E0-EC6B-4B26-BBA0-9B8711926884}"/>
    <hyperlink ref="O21" r:id="rId60" xr:uid="{7514D344-4BED-479C-92D2-0457E88C7C19}"/>
    <hyperlink ref="O54" r:id="rId61" xr:uid="{70806855-1C12-4B4A-B67E-AFDA52BFCC8C}"/>
    <hyperlink ref="O67" r:id="rId62" xr:uid="{F4463A96-B93B-489D-A2F1-16F5B3E30439}"/>
    <hyperlink ref="O88" r:id="rId63" xr:uid="{36634F3A-EF0F-482E-AF79-653FFD51C18D}"/>
    <hyperlink ref="O89" r:id="rId64" xr:uid="{DDAD72FF-B3C0-4351-B9B9-001CD0C8B001}"/>
    <hyperlink ref="O93" r:id="rId65" xr:uid="{B149B0D9-26AF-4DCA-8553-049F213EFB18}"/>
    <hyperlink ref="O102" r:id="rId66" xr:uid="{100DDCBE-3D38-445E-A452-EE5C5AFB144C}"/>
    <hyperlink ref="N26" r:id="rId67" xr:uid="{8CE78BAA-FD61-48F7-9B9C-6A6D3C538448}"/>
    <hyperlink ref="O26" r:id="rId68" xr:uid="{03A2E42E-543E-4979-8ED6-E30CF0DCB031}"/>
    <hyperlink ref="O90" r:id="rId69" xr:uid="{BAF15FEF-FC9D-47B3-893E-CCF0E0E74DA8}"/>
    <hyperlink ref="N103" r:id="rId70" xr:uid="{24D1D72D-844A-4582-89F8-113C55061937}"/>
    <hyperlink ref="O106" r:id="rId71" xr:uid="{CD71B59B-7B01-4EE0-AAF5-A810CF9A1EB0}"/>
    <hyperlink ref="O109" r:id="rId72" xr:uid="{15A7B146-272E-4726-939B-BF851BCB025D}"/>
    <hyperlink ref="N121" r:id="rId73" xr:uid="{8D4218B3-DB8D-42B9-AB4E-0E58E2771FF3}"/>
    <hyperlink ref="N119" r:id="rId74" xr:uid="{F6FDCAFD-1BAE-4ABF-9812-4CA6818C3593}"/>
    <hyperlink ref="N118" r:id="rId75" xr:uid="{AB6E247C-6E4E-497D-BAF4-6B3E6AEE0D59}"/>
    <hyperlink ref="N125" r:id="rId76" xr:uid="{BCB93EB0-7FB4-4F75-B939-BC18FA0FE03F}"/>
    <hyperlink ref="O125" r:id="rId77" xr:uid="{72CFFA9D-C09A-4686-A97C-2F10993CAFF2}"/>
    <hyperlink ref="O119" r:id="rId78" xr:uid="{FBB40418-FA0D-47E6-9CF5-23BA6A65E520}"/>
    <hyperlink ref="O114" r:id="rId79" xr:uid="{D59CE17C-F9E2-4BCB-A342-083B5EB6E01E}"/>
    <hyperlink ref="N113" r:id="rId80" xr:uid="{1616C9EC-B973-4BA6-B56A-7CD2E6C81B4F}"/>
    <hyperlink ref="N109" r:id="rId81" xr:uid="{DA02441F-2DC7-4C12-9523-8E5F9F6BA024}"/>
    <hyperlink ref="N108" r:id="rId82" xr:uid="{CA9B2AA9-2939-4AE7-BEDE-9858E4423AA3}"/>
    <hyperlink ref="O108" r:id="rId83" xr:uid="{FDF65663-AD6F-4B45-9D12-93472B988354}"/>
    <hyperlink ref="O53" r:id="rId84" xr:uid="{75A4C036-9814-4771-BAB0-AF42B270117F}"/>
    <hyperlink ref="O57" r:id="rId85" xr:uid="{705AC95E-10D7-4C8F-B92B-26C63B61962B}"/>
    <hyperlink ref="O29" r:id="rId86" xr:uid="{21F432BA-DEE6-4108-A815-33033F04316E}"/>
    <hyperlink ref="N41" r:id="rId87" xr:uid="{C04DB4E3-6A32-467F-9F58-D97B97B7D573}"/>
    <hyperlink ref="N30" r:id="rId88" xr:uid="{BBC0A217-5E69-4DF2-BD6B-F1B6A936FCFE}"/>
    <hyperlink ref="N40" r:id="rId89" xr:uid="{8597B19C-FDC2-4C60-BD1E-4570DD14FB14}"/>
    <hyperlink ref="N31" r:id="rId90" xr:uid="{AF96AE78-5DA0-477F-B4CC-64F374C88271}"/>
    <hyperlink ref="N37" r:id="rId91" xr:uid="{2329F997-2677-4AB8-BD76-8AAD0396E995}"/>
    <hyperlink ref="N33" r:id="rId92" xr:uid="{E211CDBE-9290-4198-B9C3-6CCF88544EC3}"/>
    <hyperlink ref="N35" r:id="rId93" xr:uid="{D40769B6-D987-48D9-8128-F1403A3D437B}"/>
    <hyperlink ref="N36" r:id="rId94" xr:uid="{D1F530FA-4A06-409B-998A-554ABF030FF0}"/>
    <hyperlink ref="N39" r:id="rId95" xr:uid="{6DC1560A-0A1A-483F-B860-097009F52E37}"/>
    <hyperlink ref="N42" r:id="rId96" xr:uid="{4123037A-9ABE-4B38-9B56-BA849671D6F6}"/>
    <hyperlink ref="O31" r:id="rId97" xr:uid="{47417BB8-0974-410C-9329-1383AA36DF21}"/>
    <hyperlink ref="O37" r:id="rId98" xr:uid="{9DF1EE55-897E-4535-99DB-F838EC1A04BF}"/>
    <hyperlink ref="O32" r:id="rId99" xr:uid="{ACD89E24-FC92-4B71-AC96-8BC13ABDFF2A}"/>
    <hyperlink ref="O33" r:id="rId100" xr:uid="{B6D2817B-567C-4886-8411-9CFE322CFF5E}"/>
    <hyperlink ref="O34" r:id="rId101" xr:uid="{BB457479-B226-41E3-B9B4-039239A17A33}"/>
    <hyperlink ref="O35" r:id="rId102" xr:uid="{92B6B4B1-CBF6-4FF6-8C86-EE00CD9BB97B}"/>
    <hyperlink ref="O36" r:id="rId103" xr:uid="{B027C521-FF13-4853-A00A-B683F179ED70}"/>
    <hyperlink ref="N45" r:id="rId104" xr:uid="{07A8EC4B-3154-4F3F-86FE-359E3434837C}"/>
    <hyperlink ref="N47" r:id="rId105" xr:uid="{C8008EEF-1FC6-44E1-80E0-1EECB0FFE573}"/>
    <hyperlink ref="N54" r:id="rId106" xr:uid="{FA4D8C18-B9BA-4BFD-AA1F-65FFF16A3BF4}"/>
    <hyperlink ref="N56" r:id="rId107" xr:uid="{2B7F649B-B6DC-4DC3-B321-53637AE6AFBD}"/>
    <hyperlink ref="N58" r:id="rId108" xr:uid="{B65410BB-A2A5-4178-8033-FDAD11DB2FA0}"/>
    <hyperlink ref="N62" r:id="rId109" xr:uid="{F0127DB6-E5D1-4584-A8F3-91D7B7135DA8}"/>
    <hyperlink ref="N63" r:id="rId110" xr:uid="{D6675414-9854-4885-8C6B-95A3BF4F9F9D}"/>
    <hyperlink ref="N65" r:id="rId111" xr:uid="{A5F355DA-0161-4583-B31C-6BA1E8D4FB65}"/>
    <hyperlink ref="N67" r:id="rId112" xr:uid="{44317B09-58EF-4A40-B136-2B9E691FF03E}"/>
    <hyperlink ref="N68" r:id="rId113" xr:uid="{CABCEC00-F62E-4BDD-9690-C87878E8657E}"/>
    <hyperlink ref="N70" r:id="rId114" xr:uid="{5543C585-98C6-489E-B423-10F7A7573AFC}"/>
    <hyperlink ref="N72" r:id="rId115" xr:uid="{207E6AAE-E897-4FCF-8386-83EBEA03A04D}"/>
    <hyperlink ref="N73" r:id="rId116" xr:uid="{C1BC4D9C-019C-422A-B2BA-760EE6ACEA40}"/>
    <hyperlink ref="N74" r:id="rId117" xr:uid="{5D6E8D8C-561F-4424-B72A-01EA95EC3776}"/>
    <hyperlink ref="N79" r:id="rId118" xr:uid="{172F45E3-A464-4ADB-8CF5-B78D778D5448}"/>
    <hyperlink ref="N81" r:id="rId119" xr:uid="{5DA3D3CD-B27D-4BB5-B445-517788D16158}"/>
    <hyperlink ref="N82" r:id="rId120" xr:uid="{D9A7F3FA-D218-4461-AD74-8A68E49EBA97}"/>
    <hyperlink ref="N86" r:id="rId121" xr:uid="{E57CD094-E3CE-48AC-B662-99D9D419C2ED}"/>
    <hyperlink ref="N88" r:id="rId122" xr:uid="{677809AF-F923-479B-9661-742E08875C40}"/>
    <hyperlink ref="N89" r:id="rId123" xr:uid="{A58DA0F5-693E-4B7D-9327-814865DF8970}"/>
    <hyperlink ref="N92" r:id="rId124" xr:uid="{52B4B470-C2A5-46F0-AC00-B5BB7C41C30E}"/>
    <hyperlink ref="N93" r:id="rId125" xr:uid="{14A63E12-DC26-4D6A-A5E5-AA603635D426}"/>
    <hyperlink ref="N94" r:id="rId126" xr:uid="{413F22A8-77A1-4D62-9C62-31E380B63DCD}"/>
    <hyperlink ref="N95" r:id="rId127" xr:uid="{E49F8478-4F8D-4721-928D-9DCE375E3853}"/>
    <hyperlink ref="N96" r:id="rId128" xr:uid="{DC851697-7D78-4E87-9FF3-276BB1C162B8}"/>
    <hyperlink ref="N97" r:id="rId129" xr:uid="{620AA8E8-E0E8-40E3-B937-8AFDB68BEDB0}"/>
    <hyperlink ref="N98" r:id="rId130" xr:uid="{5C818DD8-36D7-4C31-902B-7183A792B93F}"/>
    <hyperlink ref="N99" r:id="rId131" xr:uid="{7F94B65D-2F10-47F8-97C5-CDE9ADBBFF30}"/>
    <hyperlink ref="N100" r:id="rId132" xr:uid="{9BB9757D-4D67-4713-AE94-9FCE116EC0F5}"/>
    <hyperlink ref="N101" r:id="rId133" xr:uid="{F2D1BDA4-7D3F-4592-B53A-1D70FF1DB563}"/>
    <hyperlink ref="N102" r:id="rId134" xr:uid="{A1158297-62A0-42E7-9FE1-204617186BF6}"/>
    <hyperlink ref="N104" r:id="rId135" xr:uid="{5ACDBDC5-78E8-4BE0-9AC3-EDA50147D007}"/>
    <hyperlink ref="N6" r:id="rId136" xr:uid="{9DF83799-9F93-458C-8D64-9A6CC34936E1}"/>
    <hyperlink ref="N14" r:id="rId137" xr:uid="{4C89344A-8DEB-4B5A-ACDE-5D23902D586F}"/>
    <hyperlink ref="N20" r:id="rId138" xr:uid="{23FB70CA-F436-4F7D-9520-3A6373FAF8B7}"/>
    <hyperlink ref="O45" r:id="rId139" xr:uid="{5192A2B3-45D1-441D-BED1-87A711189B9E}"/>
    <hyperlink ref="O44"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39" r:id="rId152" xr:uid="{6FF346BA-0611-4AFA-B202-C074977875A2}"/>
    <hyperlink ref="O46" r:id="rId153" xr:uid="{1F47C19E-B607-4B7A-ABFA-A967DE94BCA3}"/>
    <hyperlink ref="O47" r:id="rId154" xr:uid="{98B5B714-C060-4931-9656-C947273C8A79}"/>
    <hyperlink ref="O50" r:id="rId155" xr:uid="{C7FF86DD-F5FA-4A40-85D8-CA76230FC957}"/>
    <hyperlink ref="O51" r:id="rId156" xr:uid="{C227D00F-58F4-4A68-8AAE-B2ABCE8FB85E}"/>
    <hyperlink ref="O56" r:id="rId157" xr:uid="{5242DF62-4A22-4ED7-9F05-DCB734B2113C}"/>
    <hyperlink ref="O58" r:id="rId158" xr:uid="{9A7609D3-7D8E-4C4A-8AEA-452AE0FA7D25}"/>
    <hyperlink ref="O61" r:id="rId159" xr:uid="{51B25D32-FFD9-43F2-9C5F-06368A4DCF31}"/>
    <hyperlink ref="O62" r:id="rId160" xr:uid="{457779B0-3910-4DF4-9287-78089B75614E}"/>
    <hyperlink ref="O63" r:id="rId161" xr:uid="{8F4EF2FE-8372-4FD0-B21B-0C73B90F723E}"/>
    <hyperlink ref="O64" r:id="rId162" xr:uid="{039752D6-A57E-42F7-BA40-8C6F6916F6AB}"/>
    <hyperlink ref="O65" r:id="rId163" xr:uid="{A90D194B-4E3C-444A-836D-6B5DB5BE736F}"/>
    <hyperlink ref="O66" r:id="rId164" xr:uid="{43676EE7-6CC7-4535-89EF-4313B121B397}"/>
    <hyperlink ref="O70" r:id="rId165" xr:uid="{60E836C5-06DB-4B9A-BB8B-F3EA2AB8908E}"/>
    <hyperlink ref="O71" r:id="rId166" xr:uid="{48445DE7-4124-459A-89FE-A5785E8E6D21}"/>
    <hyperlink ref="O72" r:id="rId167" xr:uid="{92547D63-9E10-4C2A-B940-F80F86C31D6C}"/>
    <hyperlink ref="O73" r:id="rId168" xr:uid="{07239EE8-B9CC-484E-8B7D-D4422BB013EF}"/>
    <hyperlink ref="O74" r:id="rId169" xr:uid="{38AD3B56-8CE4-4A88-8E60-759B3016A491}"/>
    <hyperlink ref="O79" r:id="rId170" xr:uid="{86F4132D-8166-41D6-939D-D1945683D6A9}"/>
    <hyperlink ref="O81" r:id="rId171" xr:uid="{66A7EF04-2FDB-4C3B-975E-7D3C74F244A9}"/>
    <hyperlink ref="O82" r:id="rId172" xr:uid="{BA6720FD-FEE7-4DB0-A843-2EA5626483C1}"/>
    <hyperlink ref="O85" r:id="rId173" xr:uid="{E146E9FE-BFFA-4CC4-B47B-1EA975C335A4}"/>
    <hyperlink ref="O86" r:id="rId174" xr:uid="{DEA61234-433D-41CE-982A-5C458C6C9CE7}"/>
    <hyperlink ref="O87" r:id="rId175" xr:uid="{A3C3D363-450B-47FC-85E0-69B19823C28F}"/>
    <hyperlink ref="O92" r:id="rId176" xr:uid="{B8F617E8-3043-49ED-A585-92DB248768F3}"/>
    <hyperlink ref="O94" r:id="rId177" xr:uid="{D23D7F1D-2BBE-49F6-AC74-60F99A2EA57A}"/>
    <hyperlink ref="O95" r:id="rId178" xr:uid="{EBD0BDC5-4ED9-4F5F-BF58-85383C670443}"/>
    <hyperlink ref="O96" r:id="rId179" xr:uid="{A5B805CB-CAD5-41FA-9EBA-D9642CBFE26D}"/>
    <hyperlink ref="O97" r:id="rId180" xr:uid="{19A859D1-052B-4DAB-B7CC-0A6AC9D8F7F2}"/>
    <hyperlink ref="O98" r:id="rId181" xr:uid="{5C25EA57-1862-4EB2-B42F-C38878D6FDBB}"/>
    <hyperlink ref="O99" r:id="rId182" xr:uid="{137F4CB3-5E96-4F0B-9112-FB0E767219A3}"/>
    <hyperlink ref="O100" r:id="rId183" xr:uid="{381C9CC3-D7F0-4DA5-B89C-D32C1EFFAE7F}"/>
    <hyperlink ref="O101" r:id="rId184" xr:uid="{442FADE2-705E-4347-9E1B-6BE95B74C7E9}"/>
    <hyperlink ref="O104" r:id="rId185" xr:uid="{05D0A8E5-D137-468D-956A-C6A0EC0AF994}"/>
    <hyperlink ref="O52" r:id="rId186" xr:uid="{620792CE-5A18-431A-8E73-2089AAC2983A}"/>
    <hyperlink ref="N2" r:id="rId187" xr:uid="{18B11FEB-46B8-4F25-B7A7-43D0660773AF}"/>
    <hyperlink ref="O2" r:id="rId188" xr:uid="{DF8AF1A2-5F3B-473B-B683-E72393CE6C51}"/>
    <hyperlink ref="O11" r:id="rId189" xr:uid="{126CAD1B-6FF2-4635-9D25-3F3F7D9670EA}"/>
    <hyperlink ref="N59" r:id="rId190" xr:uid="{489CA57F-DCF3-41DA-8898-872148FB6F5F}"/>
    <hyperlink ref="O59" r:id="rId191" xr:uid="{9654F2F7-1E02-4E09-A37F-80D575E0BA5D}"/>
    <hyperlink ref="N123" r:id="rId192" xr:uid="{379242D3-4097-44A4-BCAA-022CAB27D0A6}"/>
    <hyperlink ref="O123" r:id="rId193" xr:uid="{C4642B4A-6CA6-4B1B-AEA7-F282A7BA1125}"/>
    <hyperlink ref="N80" r:id="rId194" xr:uid="{E7B471DC-8260-46D5-8219-67CCDE010FF7}"/>
    <hyperlink ref="O80" r:id="rId195" xr:uid="{E3CDA6E1-5BA4-46F2-A80F-5C15D83C0303}"/>
    <hyperlink ref="N111" r:id="rId196" location=" " xr:uid="{59759E3E-3E56-4248-9A1D-100570F87189}"/>
    <hyperlink ref="N112" r:id="rId197" xr:uid="{3EE4CC13-C8A8-4DC2-8307-EE051275073A}"/>
    <hyperlink ref="O112" r:id="rId198" display="https://standards.cencenelec.eu/dyn/www/f?p=CEN:110:0::::FSP_PROJECT,FSP_ORG_ID:67839,1991542&amp;cs=1BCE2DE4154949B53FB406C2D4EE5011D " xr:uid="{817CC67B-E10C-486B-B840-1A90AC8F8001}"/>
    <hyperlink ref="O111" r:id="rId199" display="https://standards.cencenelec.eu/dyn/www/f?p=CEN:110:0::::FSP_PROJECT,FSP_ORG_ID:67839,1991542&amp;cs=1BCE2DE4154949B53FB406C2D4EE5011D " xr:uid="{9872E0DC-DD1A-4F7D-990B-D11F499DF594}"/>
    <hyperlink ref="N78" r:id="rId200" xr:uid="{C59116B7-9A37-45AD-944D-31FBA0AB37FA}"/>
    <hyperlink ref="N77" r:id="rId201" xr:uid="{B3CB67E7-9836-4B7C-A6F0-C8CB27F2953C}"/>
    <hyperlink ref="O78" r:id="rId202" xr:uid="{34F30490-219E-4B7D-A1EC-0B260FE981E2}"/>
    <hyperlink ref="O77" r:id="rId203" xr:uid="{41BD3A7F-AFCD-4935-8926-4154FF4269C0}"/>
    <hyperlink ref="N22" r:id="rId204" xr:uid="{255E7D4D-6124-4B25-BBDC-95ECD936A489}"/>
    <hyperlink ref="O25" r:id="rId205" xr:uid="{B14227AF-54CC-4C9C-B4D0-136F1D70BCA7}"/>
    <hyperlink ref="O120" r:id="rId206" xr:uid="{1434D078-B9AA-47C8-82EB-C4A9A03293DC}"/>
    <hyperlink ref="O69" r:id="rId207" xr:uid="{8F6CA822-1BD4-4EE0-B1E1-9F4149E95A51}"/>
    <hyperlink ref="N69" r:id="rId208" xr:uid="{6C55BAE3-AC52-4A54-ADFB-4C03AECDF46E}"/>
    <hyperlink ref="O28" r:id="rId209" xr:uid="{C4B9ED1E-BBE3-49BD-842E-4772F661899A}"/>
    <hyperlink ref="N28" r:id="rId210" xr:uid="{8E2664D8-B1A3-4730-A93D-55B9FD57EEDA}"/>
    <hyperlink ref="N127" r:id="rId211" xr:uid="{08C5E487-88FE-4DF1-B467-1395F7A4BC9B}"/>
    <hyperlink ref="N128" r:id="rId212" xr:uid="{65D5C98C-7FB5-4D0C-9129-AC9BA38E326C}"/>
    <hyperlink ref="O127" r:id="rId213" xr:uid="{71DF83D9-A3F2-4617-81EC-6509843A9ECB}"/>
    <hyperlink ref="N129" r:id="rId214" xr:uid="{49173063-ADBB-4AF0-8A41-43F101EE5D98}"/>
    <hyperlink ref="O128" r:id="rId215" xr:uid="{C86B7AA1-7720-453B-96B5-40E5111F1D5E}"/>
    <hyperlink ref="O129" r:id="rId216" xr:uid="{47DAFF98-112D-4BFE-94B5-9B24AD785751}"/>
    <hyperlink ref="O130" r:id="rId217" xr:uid="{522AA585-6EDD-4DCB-9E01-8F5F0E73DE41}"/>
    <hyperlink ref="N130" r:id="rId218" xr:uid="{6D639257-A493-4310-B78E-4BA9F050859C}"/>
    <hyperlink ref="N131" r:id="rId219" xr:uid="{4B8F988B-83C8-49C2-8219-51C094F40A60}"/>
    <hyperlink ref="O131" r:id="rId220" xr:uid="{7A03C06B-D9CF-477A-9D1E-259582B74BF4}"/>
  </hyperlinks>
  <pageMargins left="0.7" right="0.7" top="0.75" bottom="0.75" header="0.3" footer="0.3"/>
  <pageSetup paperSize="9" orientation="portrait" r:id="rId221"/>
  <legacyDrawing r:id="rId222"/>
  <tableParts count="1">
    <tablePart r:id="rId22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2025-11-11T09:07:47Z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