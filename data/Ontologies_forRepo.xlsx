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Іра\BE-OLS\data\"/>
    </mc:Choice>
  </mc:AlternateContent>
  <xr:revisionPtr revIDLastSave="0" documentId="13_ncr:1_{2B3E666E-9C3E-4D79-B387-830C096149B9}" xr6:coauthVersionLast="47" xr6:coauthVersionMax="47" xr10:uidLastSave="{00000000-0000-0000-0000-000000000000}"/>
  <bookViews>
    <workbookView xWindow="-110" yWindow="-110" windowWidth="19420" windowHeight="10300"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45" i="14" l="1"/>
  <c r="AC145" i="14"/>
  <c r="AD145" i="14"/>
  <c r="AB144" i="14"/>
  <c r="AC144" i="14"/>
  <c r="AD144" i="14"/>
  <c r="AB141" i="14"/>
  <c r="AB142" i="14"/>
  <c r="AB143" i="14"/>
  <c r="AC141" i="14"/>
  <c r="AC142" i="14"/>
  <c r="AC143" i="14"/>
  <c r="AD141" i="14"/>
  <c r="AD142" i="14"/>
  <c r="AD143" i="14"/>
  <c r="AB82" i="14"/>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tc={1E091BA1-9F74-4A1F-AB26-EF125F3AC8A3}</author>
    <author>tc={9A5C529B-FA1E-4373-8A74-C3F792561B4A}</author>
    <author>tc={0BE7EF65-0D94-4F3A-8D1B-9B7F0932BB6B}</author>
    <author>tc={51CFF48A-CD78-4902-8B0C-DC9E113097CA}</author>
    <author>tc={9B4FF538-E0FF-4ED4-A111-F93178D73F43}</author>
    <author>tc={C1CFE5A4-62BC-4FCA-B09F-944B8ACAFADF}</author>
    <author>tc={927B62E8-0FF6-4EF1-936E-463477F0E0BD}</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P9" authorId="3" shapeId="0" xr:uid="{885FB683-17A8-485A-8691-53C79CD2DF4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https://www.freeclass.eu/download
The Free Class (FC) ontology requires me to give my details to get access. But, it is otherwise an AECO ontology. Should I add it?</t>
      </text>
    </comment>
    <comment ref="Q21" authorId="4" shapeId="0" xr:uid="{973D48F1-79B3-4920-8BDA-8C16C92B26F0}">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may need to include quantity kind (qk) and unit (unit), that are both from qudt.
Відповідь:
    New list: bacnet, bsh, qudt, qudtqk, rec, ref, s223, sdo, sh, skos, sosa, tag, unit, vcard
Відповідь:
    That seems better. Where did you find that list?</t>
      </text>
    </comment>
    <comment ref="O30" authorId="5" shapeId="0" xr:uid="{69563DD9-E157-466B-B7C0-685744C5F29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https://www.auto.tuwien.ac.at/downloads/thinkhome/ontology/BuildingOntology.owl</t>
      </text>
    </comment>
    <comment ref="R32" authorId="6" shapeId="0" xr:uid="{4B8EE336-FBE0-47A3-9930-259BDD87F0E2}">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Place Reference Theory (PRT) ontology
Відповідь:
    possibly. But, note that you need to complete the two columns on the left as well. If you decide to put PRT in the column "linked-to UPPER", then you put yes here, since that column won't be empty.
Відповідь: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Відповідь:
    Good question. Either PRT is UPPER, or we consider it AECO (we should change that columns to BE :) ). Please, ask Arghavan for her opinion.
Відповідь:
    @Arghavan</t>
      </text>
    </comment>
    <comment ref="O34" authorId="7" shapeId="0" xr:uid="{79AF74C8-61FA-441F-B37E-08E57B208671}">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https://cui.unige.ch/isi/onto/citygml2.0.owl</t>
      </text>
    </comment>
    <comment ref="A49" authorId="8" shapeId="0" xr:uid="{F8B9D496-3A44-41C2-9AF2-0758B48A9DD7}">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Probably doesn't exist
Відповідь:
    It does. But, only in the paper. So, we report the information we have, but we say it has no URI, no serialisation, etc.... It's score will just be poor.
Відповідь:
    based on the paper, it is the Damage Mechanics Ontology (dmo). I've renamed and updated the line accordingly. I couldn't find anything about damage model ontology in general by googling. Also, if cdo and dmo are parts of dot, do they have the same parameters (version, year, etc.)?
Відповідь:
    Don't know. Maybe yes. It would be a reasonable assumption.
Відповідь:
    Actually, probably not. It would appear that dmo may in fact never have really existed...
Відповідь: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Відповідь:
    So, I think we are fine. Because we put "no" to everything on the right. But, maybe we should ask our colleagues for their opinion whether or not to keep it.</t>
      </text>
    </comment>
    <comment ref="A76" authorId="9" shapeId="0" xr:uid="{23BF3BDA-5DFC-4776-A2D7-8F9ADF115349}">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This ontology seems to have 6 sub-modules. Should we add them to our database?</t>
      </text>
    </comment>
    <comment ref="Q76" authorId="10" shapeId="0" xr:uid="{F740CA61-96DA-4774-9A8A-ED9440FE2098}">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Should we add the AffectedBy ontology (aff; https://w3id.org/affectedBy#) and the epp ontology (https://w3id.org/eep# ) to our database?</t>
      </text>
    </comment>
    <comment ref="O77" authorId="11" shapeId="0" xr:uid="{62695919-9F9A-40CF-9011-F3B8FA1114C9}">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http://semantic.eurobau.com/eurobau-utility.owl </t>
      </text>
    </comment>
    <comment ref="P78" authorId="12" shapeId="0" xr:uid="{1E091BA1-9F74-4A1F-AB26-EF125F3AC8A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Retired version</t>
      </text>
    </comment>
    <comment ref="O90" authorId="13" shapeId="0" xr:uid="{9A5C529B-FA1E-4373-8A74-C3F792561B4A}">
      <text>
        <t xml:space="preserve">[Ланцюжок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http://p-comp.di.uoa.gr/projects/ontonav/INOdoc/index.html </t>
      </text>
    </comment>
    <comment ref="A94" authorId="14" shapeId="0" xr:uid="{0BE7EF65-0D94-4F3A-8D1B-9B7F0932BB6B}">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Note: used to be ontology iddo.</t>
      </text>
    </comment>
    <comment ref="Z101" authorId="15" shapeId="0" xr:uid="{51CFF48A-CD78-4902-8B0C-DC9E113097CA}">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Occupant Property Taxonomy (2024). DOI: 10.3233/SW-223254
Відповідь:
    If we miss an ontology in our database, just add it :) 
Відповідь:
    We don't :) The ontology is extended by developers with this taxonomy in 2024</t>
      </text>
    </comment>
    <comment ref="P110" authorId="16" shapeId="0" xr:uid="{9B4FF538-E0FF-4ED4-A111-F93178D73F43}">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@Arghavan: I notice it refers to brickpatches and geojson. These are not in our database just now. Should we add them?</t>
      </text>
    </comment>
    <comment ref="O116" authorId="17" shapeId="0" xr:uid="{C1CFE5A4-62BC-4FCA-B09F-944B8ACAFADF}">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See also http://www.semanticbim.com/ontologies/residentialBuilding.owl</t>
      </text>
    </comment>
    <comment ref="P145" authorId="18" shapeId="0" xr:uid="{927B62E8-0FF6-4EF1-936E-463477F0E0BD}">
      <text>
        <t>[Ланцюжок приміток]
Ваша версія Excel дає змогу прочитати цей ланцюжок приміток, проте будь-які зміни в примітці буде вилучено, якщо відкрити цей файл у новішій версії Excel. Докладні відомості: https://go.microsoft.com/fwlink/?linkid=870924.
Примітка:
    It’s not clear which exact ifc is being used (no info in ttl)</t>
      </text>
    </comment>
  </commentList>
</comments>
</file>

<file path=xl/sharedStrings.xml><?xml version="1.0" encoding="utf-8"?>
<sst xmlns="http://schemas.openxmlformats.org/spreadsheetml/2006/main" count="3395" uniqueCount="946">
  <si>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</si>
  <si>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</si>
  <si>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</si>
  <si>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</si>
  <si>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</si>
  <si>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</si>
  <si>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</si>
  <si>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</si>
  <si>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</si>
  <si>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</si>
  <si>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</si>
  <si>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</si>
  <si>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</si>
  <si>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</si>
  <si>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</si>
  <si>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</si>
  <si>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</si>
  <si>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</si>
  <si>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</si>
  <si>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</si>
  <si>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Acronym</t>
  </si>
  <si>
    <t>Version</t>
  </si>
  <si>
    <t>Domain (deprecated)</t>
  </si>
  <si>
    <t>Primary Domain</t>
  </si>
  <si>
    <t>Secondary Domain</t>
  </si>
  <si>
    <t>FAIR - 5 star</t>
  </si>
  <si>
    <t>Level of maintenance</t>
  </si>
  <si>
    <t>Level of use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</si>
  <si>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</si>
  <si>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</si>
  <si>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</si>
  <si>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</si>
  <si>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</si>
  <si>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</si>
  <si>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</si>
  <si>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</si>
  <si>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</si>
  <si>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</si>
  <si>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</si>
  <si>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</si>
  <si>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</si>
  <si>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</si>
  <si>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</si>
  <si>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</si>
  <si>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</si>
  <si>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</si>
  <si>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</si>
  <si>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</si>
  <si>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</si>
  <si>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</si>
  <si>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</si>
  <si>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</si>
  <si>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</si>
  <si>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</si>
  <si>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</si>
  <si>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</si>
  <si>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</si>
  <si>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</si>
  <si>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</si>
  <si>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</si>
  <si>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</si>
  <si>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</si>
  <si>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</si>
  <si>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</si>
  <si>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</si>
  <si>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</si>
  <si>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</si>
  <si>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</si>
  <si>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</si>
  <si>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</si>
  <si>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</si>
  <si>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</si>
  <si>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</si>
  <si>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</si>
  <si>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</si>
  <si>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</si>
  <si>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</si>
  <si>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</si>
  <si>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</si>
  <si>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</si>
  <si>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</si>
  <si>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</si>
  <si>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</si>
  <si>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</si>
  <si>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</si>
  <si>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</si>
  <si>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</si>
  <si>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</si>
  <si>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</si>
  <si>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</si>
  <si>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</si>
  <si>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</si>
  <si>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</si>
  <si>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</si>
  <si>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</si>
  <si>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</si>
  <si>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</si>
  <si>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</si>
  <si>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</si>
  <si>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</si>
  <si>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</si>
  <si>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</si>
  <si>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</si>
  <si>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</si>
  <si>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</si>
  <si>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</si>
  <si>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</si>
  <si>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</si>
  <si>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</si>
  <si>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</si>
  <si>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</si>
  <si>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</si>
  <si>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</si>
  <si>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</si>
  <si>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</si>
  <si>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</si>
  <si>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</si>
  <si>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</si>
  <si>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</si>
  <si>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</si>
  <si>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</si>
  <si>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</si>
  <si>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</si>
  <si>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</si>
  <si>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</si>
  <si>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</si>
  <si>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</si>
  <si>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</si>
  <si>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</si>
  <si>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</si>
  <si>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</si>
  <si>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</si>
  <si>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</si>
  <si>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</si>
  <si>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</si>
  <si>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</si>
  <si>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</si>
  <si>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</si>
  <si>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</si>
  <si>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</si>
  <si>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</si>
  <si>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</si>
  <si>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</si>
  <si>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</si>
  <si>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</si>
  <si>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</si>
  <si>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</si>
  <si>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</si>
  <si>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</si>
  <si>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</si>
  <si>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</si>
  <si>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</si>
  <si>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</si>
  <si>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</si>
  <si>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</si>
  <si>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</si>
  <si>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</si>
  <si>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</si>
  <si>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</si>
  <si>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</si>
  <si>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</si>
  <si>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</si>
  <si>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</si>
  <si>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</si>
  <si>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</si>
  <si>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</si>
  <si>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</si>
  <si>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</si>
  <si>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</si>
  <si>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</si>
  <si>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</si>
  <si>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</si>
  <si>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</si>
  <si>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</si>
  <si>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</si>
  <si>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</si>
  <si>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</si>
  <si>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</si>
  <si>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</si>
  <si>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</si>
  <si>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</si>
  <si>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</si>
  <si>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</si>
  <si>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</si>
  <si>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</si>
  <si>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</si>
  <si>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</si>
  <si>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</si>
  <si>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</si>
  <si>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</si>
  <si>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</si>
  <si>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</si>
  <si>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</si>
  <si>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</si>
  <si>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</si>
  <si>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</si>
  <si>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</si>
  <si>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</si>
  <si>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</si>
  <si>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</si>
  <si>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</si>
  <si>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</si>
  <si>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</si>
  <si>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</si>
  <si>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</si>
  <si>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</si>
  <si>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</si>
  <si>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</si>
  <si>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</si>
  <si>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</si>
  <si>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</si>
  <si>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</si>
  <si>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</si>
  <si>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</si>
  <si>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</si>
  <si>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</si>
  <si>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</si>
  <si>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</si>
  <si>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</si>
  <si>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</si>
  <si>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</si>
  <si>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</si>
  <si>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</si>
  <si>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</si>
  <si>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</si>
  <si>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</si>
  <si>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</si>
  <si>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</si>
  <si>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</si>
  <si>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</si>
  <si>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</si>
  <si>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</si>
  <si>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</si>
  <si>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</si>
  <si>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</si>
  <si>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</si>
  <si>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</si>
  <si>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</si>
  <si>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</si>
  <si>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</si>
  <si>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</si>
  <si>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</si>
  <si>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</si>
  <si>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</si>
  <si>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</si>
  <si>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</si>
  <si>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</si>
  <si>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</si>
  <si>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</si>
  <si>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</si>
  <si>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</si>
  <si>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</si>
  <si>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</si>
  <si>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</si>
  <si>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</si>
  <si>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</si>
  <si>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</si>
  <si>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</si>
  <si>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</si>
  <si>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</si>
  <si>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</si>
  <si>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</si>
  <si>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</si>
  <si>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</si>
  <si>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</si>
  <si>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</si>
  <si>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</si>
  <si>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</si>
  <si>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</si>
  <si>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</si>
  <si>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</si>
  <si>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</si>
  <si>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</si>
  <si>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</si>
  <si>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</si>
  <si>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</si>
  <si>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</si>
  <si>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</si>
  <si>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</si>
  <si>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</si>
  <si>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</si>
  <si>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</si>
  <si>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</si>
  <si>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</si>
  <si>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</si>
  <si>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</si>
  <si>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</si>
  <si>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</si>
  <si>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</si>
  <si>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</si>
  <si>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</si>
  <si>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</si>
  <si>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</si>
  <si>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</si>
  <si>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</si>
  <si>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</si>
  <si>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</si>
  <si>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</si>
  <si>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</si>
  <si>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</si>
  <si>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</si>
  <si>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</si>
  <si>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</si>
  <si>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</si>
  <si>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</si>
  <si>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</si>
  <si>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</si>
  <si>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</si>
  <si>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</si>
  <si>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</si>
  <si>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</si>
  <si>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</si>
  <si>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</si>
  <si>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</si>
  <si>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</si>
  <si>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</si>
  <si>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</si>
  <si>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</si>
  <si>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</si>
  <si>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</si>
  <si>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</si>
  <si>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</si>
  <si>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</si>
  <si>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</si>
  <si>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</si>
  <si>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</si>
  <si>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</si>
  <si>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</si>
  <si>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</si>
  <si>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</si>
  <si>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</si>
  <si>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</si>
  <si>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</si>
  <si>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</si>
  <si>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</si>
  <si>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</si>
  <si>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</si>
  <si>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</si>
  <si>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</si>
  <si>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</si>
  <si>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</si>
  <si>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</si>
  <si>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</si>
  <si>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</si>
  <si>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</si>
  <si>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</si>
  <si>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</si>
  <si>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</si>
  <si>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</si>
  <si>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</si>
  <si>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</si>
  <si>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</si>
  <si>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</si>
  <si>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</si>
  <si>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</si>
  <si>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</si>
  <si>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</si>
  <si>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</si>
  <si>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</si>
  <si>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</si>
  <si>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</si>
  <si>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</si>
  <si>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</si>
  <si>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</si>
  <si>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</si>
  <si>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</si>
  <si>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</si>
  <si>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</si>
  <si>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</si>
  <si>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</si>
  <si>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</si>
  <si>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</si>
  <si>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</si>
  <si>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</si>
  <si>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</si>
  <si>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</si>
  <si>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</si>
  <si>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</si>
  <si>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</si>
  <si>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</si>
  <si>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</si>
  <si>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</si>
  <si>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</si>
  <si>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</si>
  <si>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</si>
  <si>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</si>
  <si>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</si>
  <si>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</si>
  <si>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</si>
  <si>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</si>
  <si>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</si>
  <si>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</si>
  <si>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</si>
  <si>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</si>
  <si>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</si>
  <si>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</si>
  <si>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</si>
  <si>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</si>
  <si>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</si>
  <si>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</si>
  <si>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</si>
  <si>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</si>
  <si>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</si>
  <si>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</si>
  <si>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</si>
  <si>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</si>
  <si>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</si>
  <si>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</si>
  <si>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</si>
  <si>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</si>
  <si>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</si>
  <si>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</si>
  <si>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</si>
  <si>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</si>
  <si>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</si>
  <si>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</si>
  <si>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</si>
  <si>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</si>
  <si>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</si>
  <si>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</si>
  <si>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</si>
  <si>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</si>
  <si>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</si>
  <si>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</si>
  <si>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</si>
  <si>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</si>
  <si>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</si>
  <si>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</si>
  <si>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</si>
  <si>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</si>
  <si>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</si>
  <si>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</si>
  <si>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</si>
  <si>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</si>
  <si>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</si>
  <si>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</si>
  <si>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</si>
  <si>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</si>
  <si>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</si>
  <si>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</si>
  <si>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</si>
  <si>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</si>
  <si>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</si>
  <si>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</si>
  <si>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</si>
  <si>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</si>
  <si>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</si>
  <si>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</si>
  <si>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</si>
  <si>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</si>
  <si>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</si>
  <si>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</si>
  <si>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</si>
  <si>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</si>
  <si>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</si>
  <si>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</si>
  <si>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</si>
  <si>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</si>
  <si>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</si>
  <si>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</si>
  <si>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</si>
  <si>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</si>
  <si>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</si>
  <si>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</si>
  <si>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</si>
  <si>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</si>
  <si>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</si>
  <si>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</si>
  <si>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</si>
  <si>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</si>
  <si>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</si>
  <si>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</si>
  <si>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</si>
  <si>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</si>
  <si>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</si>
  <si>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</si>
  <si>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</si>
  <si>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</si>
  <si>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</si>
  <si>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</si>
  <si>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</si>
  <si>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</si>
  <si>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</si>
  <si>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</si>
  <si>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</si>
  <si>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</si>
  <si>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</si>
  <si>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</si>
  <si>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</si>
  <si>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</si>
  <si>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</si>
  <si>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</si>
  <si>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</si>
  <si>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</si>
  <si>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</si>
  <si>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</si>
  <si>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</si>
  <si>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</si>
  <si>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</si>
  <si>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</si>
  <si>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</si>
  <si>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</si>
  <si>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</si>
  <si>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</si>
  <si>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</si>
  <si>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</si>
  <si>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</si>
  <si>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</si>
  <si>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</si>
  <si>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</si>
  <si>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</si>
  <si>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</si>
  <si>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</si>
  <si>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</si>
  <si>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</si>
  <si>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</si>
  <si>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</si>
  <si>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</si>
  <si>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</si>
  <si>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</si>
  <si>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</si>
  <si>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</si>
  <si>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</si>
  <si>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</si>
  <si>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</si>
  <si>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</si>
  <si>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</si>
  <si>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</si>
  <si>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</si>
  <si>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</si>
  <si>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</si>
  <si>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</si>
  <si>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</si>
  <si>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</si>
  <si>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</si>
  <si>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</si>
  <si>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</si>
  <si>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</si>
  <si>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</si>
  <si>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</si>
  <si>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</si>
  <si>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</si>
  <si>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</si>
  <si>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</si>
  <si>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</si>
  <si>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</si>
  <si>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</si>
  <si>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</si>
  <si>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</si>
  <si>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</si>
  <si>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</si>
  <si>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</si>
  <si>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</si>
  <si>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</si>
  <si>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</si>
  <si>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</si>
  <si>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</si>
  <si>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</si>
  <si>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</si>
  <si>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</si>
  <si>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</si>
  <si>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</si>
  <si>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</si>
  <si>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</si>
  <si>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</si>
  <si>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</si>
  <si>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</si>
  <si>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</si>
  <si>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</si>
  <si>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</si>
  <si>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</si>
  <si>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</si>
  <si>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</si>
  <si>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</si>
  <si>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</si>
  <si>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</si>
  <si>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</si>
  <si>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</si>
  <si>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</si>
  <si>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</si>
  <si>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</si>
  <si>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</si>
  <si>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</si>
  <si>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</si>
  <si>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</si>
  <si>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</si>
  <si>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</si>
  <si>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</si>
  <si>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</si>
  <si>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</si>
  <si>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</si>
  <si>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</si>
  <si>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</si>
  <si>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</si>
  <si>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</si>
  <si>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</si>
  <si>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</si>
  <si>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</si>
  <si>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</si>
  <si>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</si>
  <si>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</si>
  <si>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</si>
  <si>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</si>
  <si>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</si>
  <si>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</si>
  <si>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</si>
  <si>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</si>
  <si>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</si>
  <si>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</si>
  <si>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</si>
  <si>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</si>
  <si>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</si>
  <si>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</si>
  <si>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</si>
  <si>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</si>
  <si>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</si>
  <si>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</si>
  <si>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</si>
  <si>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</si>
  <si>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</si>
  <si>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</si>
  <si>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</si>
  <si>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</si>
  <si>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</si>
  <si>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</si>
  <si>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</si>
  <si>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</si>
  <si>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</si>
  <si>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</si>
  <si>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</si>
  <si>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</si>
  <si>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</si>
  <si>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</si>
  <si>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</si>
  <si>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</si>
  <si>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</si>
  <si>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</si>
  <si>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</si>
  <si>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</si>
  <si>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</si>
  <si>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</si>
  <si>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</si>
  <si>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</si>
  <si>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</si>
  <si>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</si>
  <si>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</si>
  <si>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</si>
  <si>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</si>
  <si>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</si>
  <si>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</si>
  <si>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</si>
  <si>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</si>
  <si>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</si>
  <si>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</si>
  <si>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</si>
  <si>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</si>
  <si>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</si>
  <si>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</si>
  <si>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</si>
  <si>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</si>
  <si>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</si>
  <si>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</si>
  <si>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</si>
  <si>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</si>
  <si>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</si>
  <si>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</si>
  <si>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</si>
  <si>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</si>
  <si>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</si>
  <si>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</si>
  <si>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</si>
  <si>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</si>
  <si>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</si>
  <si>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</si>
  <si>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</si>
  <si>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</si>
  <si>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</si>
  <si>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</si>
  <si>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</si>
  <si>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</si>
  <si>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</si>
  <si>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</si>
  <si>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</si>
  <si>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</si>
  <si>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</si>
  <si>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</si>
  <si>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</si>
  <si>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</si>
  <si>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</si>
  <si>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</si>
  <si>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</si>
  <si>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</si>
  <si>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</si>
  <si>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</si>
  <si>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</si>
  <si>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</si>
  <si>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</si>
  <si>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</si>
  <si>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</si>
  <si>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</si>
  <si>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</si>
  <si>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</si>
  <si>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</si>
  <si>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</si>
  <si>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</si>
  <si>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</si>
  <si>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</si>
  <si>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</si>
  <si>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</si>
  <si>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</si>
  <si>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</si>
  <si>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</si>
  <si>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</si>
  <si>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</si>
  <si>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</si>
  <si>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</si>
  <si>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</si>
  <si>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</si>
  <si>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</si>
  <si>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</si>
  <si>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</si>
  <si>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</si>
  <si>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</si>
  <si>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</si>
  <si>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</si>
  <si>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</si>
  <si>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</si>
  <si>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</si>
  <si>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</si>
  <si>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</si>
  <si>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</si>
  <si>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</si>
  <si>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</si>
  <si>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</si>
  <si>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</si>
  <si>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</si>
  <si>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</si>
  <si>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</si>
  <si>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</si>
  <si>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</si>
  <si>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</si>
  <si>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</si>
  <si>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</si>
  <si>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</si>
  <si>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</si>
  <si>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</si>
  <si>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</si>
  <si>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</si>
  <si>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</si>
  <si>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</si>
  <si>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</si>
  <si>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</si>
  <si>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</si>
  <si>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</si>
  <si>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</si>
  <si>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</si>
  <si>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</si>
  <si>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</si>
  <si>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</si>
  <si>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</si>
  <si>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</si>
  <si>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</si>
  <si>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</si>
  <si>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</si>
  <si>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</si>
  <si>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</si>
  <si>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</si>
  <si>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</si>
  <si>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</si>
  <si>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</si>
  <si>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</si>
  <si>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</si>
  <si>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</si>
  <si>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</si>
  <si>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</si>
  <si>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</si>
  <si>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</si>
  <si>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</si>
  <si>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</si>
  <si>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</si>
  <si>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</si>
  <si>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</si>
  <si>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</si>
  <si>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</si>
  <si>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</si>
  <si>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</si>
  <si>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</si>
  <si>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</si>
  <si>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</si>
  <si>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</si>
  <si>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</si>
  <si>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</si>
  <si>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</si>
  <si>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</si>
  <si>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</si>
  <si>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</si>
  <si>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</si>
  <si>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</si>
  <si>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</si>
  <si>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</si>
  <si>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</si>
  <si>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</si>
  <si>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</si>
  <si>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</si>
  <si>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</si>
  <si>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</si>
  <si>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</si>
  <si>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</si>
  <si>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</si>
  <si>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</si>
  <si>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</si>
  <si>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</si>
  <si>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</si>
  <si>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</si>
  <si>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</si>
  <si>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CTERM</t>
  </si>
  <si>
    <t>http://w3id.org/ci#</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</si>
  <si>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</si>
  <si>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</si>
  <si>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</si>
  <si>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</si>
  <si>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</si>
  <si>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</si>
  <si>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</si>
  <si>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</si>
  <si>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</si>
  <si>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</si>
  <si>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</si>
  <si>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</si>
  <si>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</si>
  <si>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</si>
  <si>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</si>
  <si>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</si>
  <si>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</si>
  <si>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</si>
  <si>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</si>
  <si>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</si>
  <si>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</si>
  <si>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</si>
  <si>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</si>
  <si>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</si>
  <si>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</si>
  <si>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</si>
  <si>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</si>
  <si>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</si>
  <si>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</si>
  <si>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</si>
  <si>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</si>
  <si>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</si>
  <si>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</si>
  <si>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</si>
  <si>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</si>
  <si>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</si>
  <si>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</si>
  <si>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</si>
  <si>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</si>
  <si>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</si>
  <si>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</si>
  <si>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</si>
  <si>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</si>
  <si>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</si>
  <si>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</si>
  <si>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</si>
  <si>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</si>
  <si>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</si>
  <si>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</si>
  <si>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</si>
  <si>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</si>
  <si>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</si>
  <si>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</si>
  <si>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</si>
  <si>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</si>
  <si>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</si>
  <si>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</si>
  <si>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</si>
  <si>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</si>
  <si>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</si>
  <si>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</si>
  <si>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</si>
  <si>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</si>
  <si>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</si>
  <si>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</si>
  <si>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</si>
  <si>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</si>
  <si>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</si>
  <si>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</si>
  <si>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</si>
  <si>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</si>
  <si>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</si>
  <si>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</si>
  <si>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</si>
  <si>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</si>
  <si>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</si>
  <si>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</si>
  <si>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</si>
  <si>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</si>
  <si>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Connectivity</t>
  </si>
  <si>
    <t>Documentation &amp; Reuse</t>
  </si>
  <si>
    <t>Architecture, Engineering, Construction, Compliance Checking and Permitting Ontology</t>
  </si>
  <si>
    <t>aic</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</si>
  <si>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</si>
  <si>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https://w3id.org/aic#</t>
  </si>
  <si>
    <t>https://digiconstructlab-tu-delft.github.io/AiC-Ontology/</t>
  </si>
  <si>
    <t>Agents in Construction (AiC) Ontology</t>
  </si>
  <si>
    <t>eco</t>
  </si>
  <si>
    <t>ECO - Eurocode Core Ontology</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</si>
  <si>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</si>
  <si>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https://mlaura1996.github.io/EC1990/; https://doi.org/10.1016/j.aei.2025.104218</t>
  </si>
  <si>
    <t>bot, omg, beo</t>
  </si>
  <si>
    <t>dct, skos</t>
  </si>
  <si>
    <t>Failure Mechanism Ontology</t>
  </si>
  <si>
    <t>fmo</t>
  </si>
  <si>
    <t>hmo</t>
  </si>
  <si>
    <t>Historic Masonry Ontology</t>
  </si>
  <si>
    <t>https://w3id.org/hmo#</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</si>
  <si>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</si>
  <si>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</si>
  <si>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https://w3id.org/fmo#</t>
  </si>
  <si>
    <t>https://www.w3id.org/eurocodes/ec1990#</t>
  </si>
  <si>
    <t>https://mlaura1996.github.io/HistoricMasonryOntology/</t>
  </si>
  <si>
    <t>https://mlaura1996.github.io/FailureMechanismOntology/</t>
  </si>
  <si>
    <t>dot, beo, saref, mat</t>
  </si>
  <si>
    <t>dct, vann, foaf, ombibo2</t>
  </si>
  <si>
    <t>dot, beo, hmo</t>
  </si>
  <si>
    <t>voaf, foaf, vann, schema, skos, dbr, dbo</t>
  </si>
  <si>
    <t>https://saref.etsi.org/saref4city/</t>
  </si>
  <si>
    <t>URI</t>
  </si>
  <si>
    <t>Issued</t>
  </si>
  <si>
    <t>License</t>
  </si>
  <si>
    <t>Conforms To Standard</t>
  </si>
  <si>
    <t>Description</t>
  </si>
  <si>
    <t>References</t>
  </si>
  <si>
    <t>https://pi.pauwel.be/voc/distributionelement</t>
  </si>
  <si>
    <t>https://standards.buildingsmart.org/IFC/DEV/IFC4/ADD2/OWL</t>
  </si>
  <si>
    <t>cr, ci, dtc</t>
  </si>
  <si>
    <t>cr, dtc</t>
  </si>
  <si>
    <t>IFC 4 ADD1</t>
  </si>
  <si>
    <t>ifcOWL: https://technical.buildingsmart.org/standards/ifc/ifc-formats/ifcowl/     IFC Specifications Database and available versions: https://technical.buildingsmart.org/standards/ifc/ifc-schema-specifications/</t>
  </si>
  <si>
    <t>Ontology for Building Permit Inspection Planning</t>
  </si>
  <si>
    <t>OBPI</t>
  </si>
  <si>
    <t>OBPI is a formal, modular OWL ontology capturing the domain of inspection planning for building‐permit authorities</t>
  </si>
  <si>
    <t>https://sebseis.github.io/OBPI/</t>
  </si>
  <si>
    <t>dice, dicp, dica, ifc, bot</t>
  </si>
  <si>
    <t>org, foaf</t>
  </si>
  <si>
    <t>https://w3id.org/obpi#</t>
  </si>
  <si>
    <t>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</si>
</sst>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
      <sz val="11"/>
      <color theme="7"/>
      <name val="Calibri"/>
      <family val="2"/>
      <charset val="204"/>
      <scheme val="minor"/>
    </font>
    <font>
      <sz val="11"/>
      <color theme="7"/>
      <name val="Calibri"/>
      <family val="2"/>
      <scheme val="minor"/>
    </font>
    <font>
      <sz val="11"/>
      <color theme="0"/>
      <name val="Calibri"/>
      <family val="2"/>
      <charset val="204"/>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0" fontId="1" fillId="0" borderId="0" applyNumberFormat="0" applyFill="0" applyBorder="0" applyAlignment="0" applyProtection="0"/>
  </cellStyleXfs>
  <cellXfs count="3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xf numFmtId="0" fontId="9" fillId="0" borderId="0" xfId="0" applyFont="1"/>
    <xf numFmtId="0" fontId="10" fillId="0" borderId="0" xfId="0" applyFont="1"/>
    <xf numFmtId="0" fontId="1" fillId="0" borderId="0" xfId="2" applyAlignment="1">
      <alignment horizontal="left" vertical="center"/>
    </xf>
    <xf numFmtId="0" fontId="1" fillId="0" borderId="0" xfId="2"/>
    <xf numFmtId="0" fontId="0" fillId="5" borderId="0" xfId="0" applyFill="1"/>
    <xf numFmtId="0" fontId="0" fillId="5" borderId="0" xfId="0" applyFill="1" applyAlignment="1">
      <alignment horizontal="right"/>
    </xf>
    <xf numFmtId="0" fontId="1" fillId="5" borderId="0" xfId="2" applyFill="1"/>
    <xf numFmtId="0" fontId="7" fillId="0" borderId="0" xfId="0" applyFont="1"/>
    <xf numFmtId="164" fontId="0" fillId="0" borderId="0" xfId="0" applyNumberFormat="1" applyAlignment="1">
      <alignment horizontal="right"/>
    </xf>
    <xf numFmtId="0" fontId="11" fillId="0" borderId="0" xfId="0" applyFont="1"/>
  </cellXfs>
  <cellStyles count="3">
    <cellStyle name="Hyperlink" xfId="1" xr:uid="{00000000-000B-0000-0000-000008000000}"/>
    <cellStyle name="Гіперпосилання" xfId="2" builtinId="8"/>
    <cellStyle name="Звичайний"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Iryna Osadcha" id="{1897075C-2302-4D30-BAB3-34D253D1BE65}" userId="S::iryosa@ktu.lt::6240cfaf-d7a4-45d4-9faa-c3205551e2c9" providerId="AD"/>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5" totalsRowShown="0">
  <autoFilter ref="A1:AH145"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e"/>
    <tableColumn id="12" xr3:uid="{50E2CFE4-419A-4D16-AEC4-D9C7962383EE}" name="Conforms To Standard"/>
    <tableColumn id="13" xr3:uid="{5D297276-66F9-4459-BDF9-0A8DBD573003}" name="Description"/>
    <tableColumn id="14" xr3:uid="{2B3CEEC7-8EDA-4CF0-86E7-B36012BB1130}" name="URI"/>
    <tableColumn id="15" xr3:uid="{33DE9137-9047-46DC-B97D-FC9A03311E62}" name="References"/>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P78" dT="2026-01-15T11:45:30.51" personId="{1897075C-2302-4D30-BAB3-34D253D1BE65}" id="{1E091BA1-9F74-4A1F-AB26-EF125F3AC8A3}">
    <text>Retired version</tex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 ref="P145" dT="2026-01-15T11:44:27.26" personId="{1897075C-2302-4D30-BAB3-34D253D1BE65}" id="{927B62E8-0FF6-4EF1-936E-463477F0E0BD}">
    <text>It’s not clear which exact ifc is being used (no info in ttl)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content.iospress.com/articles/semantic-web/sw223254" TargetMode="External"/><Relationship Id="rId191" Type="http://schemas.openxmlformats.org/officeDocument/2006/relationships/hyperlink" Target="http://www.w3id.org/unocs" TargetMode="External"/><Relationship Id="rId205" Type="http://schemas.openxmlformats.org/officeDocument/2006/relationships/hyperlink" Target="https://www.auto.tuwien.ac.at/index.php/research-fields/ontology/architecture-and-building-physics-information" TargetMode="External"/><Relationship Id="rId226" Type="http://schemas.openxmlformats.org/officeDocument/2006/relationships/hyperlink" Target="https://saref.etsi.org/saref4auto/v2.1.1/" TargetMode="External"/><Relationship Id="rId247" Type="http://schemas.openxmlformats.org/officeDocument/2006/relationships/comments" Target="../comments1.xm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lift/" TargetMode="External"/><Relationship Id="rId216" Type="http://schemas.openxmlformats.org/officeDocument/2006/relationships/hyperlink" Target="http://www.doi.org/10.35490/EC3.2025.263" TargetMode="External"/><Relationship Id="rId237" Type="http://schemas.openxmlformats.org/officeDocument/2006/relationships/hyperlink" Target="https://w3id.org/hmo"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github.com/tudaIIB/omg;%20https:/ec-3.org/publications/conferences/EC32019/papers/EC32019_146.pdf" TargetMode="External"/><Relationship Id="rId192" Type="http://schemas.openxmlformats.org/officeDocument/2006/relationships/hyperlink" Target="https://doi.org/10.1016/j.autcon.2025.106293" TargetMode="External"/><Relationship Id="rId206" Type="http://schemas.openxmlformats.org/officeDocument/2006/relationships/hyperlink" Target="https://lov.linkeddata.es/dataset/lov/vocabs/jup/versions/2016-07-14.n3" TargetMode="External"/><Relationship Id="rId227" Type="http://schemas.openxmlformats.org/officeDocument/2006/relationships/hyperlink" Target="https://saref.etsi.org/saref4ehaw/v2.1.1/" TargetMode="External"/><Relationship Id="rId248" Type="http://schemas.microsoft.com/office/2017/10/relationships/threadedComment" Target="../threadedComments/threadedComment1.xm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ec-3.org/publications/conference/paper/?id=EC32024_292" TargetMode="External"/><Relationship Id="rId182" Type="http://schemas.openxmlformats.org/officeDocument/2006/relationships/hyperlink" Target="https://saref.etsi.org/s4syst/" TargetMode="External"/><Relationship Id="rId217" Type="http://schemas.openxmlformats.org/officeDocument/2006/relationships/hyperlink" Target="http://w3id.org/ci" TargetMode="External"/><Relationship Id="rId6" Type="http://schemas.openxmlformats.org/officeDocument/2006/relationships/hyperlink" Target="https://purl.org/ffdr-ontology" TargetMode="External"/><Relationship Id="rId238" Type="http://schemas.openxmlformats.org/officeDocument/2006/relationships/hyperlink" Target="https://w3id.org/fmo"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www.researchgate.net/publication/237021171_OntoNav_A_Semantic_Indoor_Navigation_System" TargetMode="External"/><Relationship Id="rId193" Type="http://schemas.openxmlformats.org/officeDocument/2006/relationships/hyperlink" Target="https://w3id.org/ocqa" TargetMode="External"/><Relationship Id="rId207" Type="http://schemas.openxmlformats.org/officeDocument/2006/relationships/hyperlink" Target="http://w3id.org/charta77/jup"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bimerr.iot.linkeddata.es/" TargetMode="External"/><Relationship Id="rId183" Type="http://schemas.openxmlformats.org/officeDocument/2006/relationships/hyperlink" Target="https://saref.etsi.org/saref4watr/" TargetMode="External"/><Relationship Id="rId218" Type="http://schemas.openxmlformats.org/officeDocument/2006/relationships/hyperlink" Target="https://w3id.org/reloc" TargetMode="External"/><Relationship Id="rId239" Type="http://schemas.openxmlformats.org/officeDocument/2006/relationships/hyperlink" Target="https://mlaura1996.github.io/HistoricMasonryOntology/"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bimerr.iot.linkeddata.es/" TargetMode="External"/><Relationship Id="rId194" Type="http://schemas.openxmlformats.org/officeDocument/2006/relationships/hyperlink" Target="https://github.com/SebSeis/ocqa" TargetMode="External"/><Relationship Id="rId208" Type="http://schemas.openxmlformats.org/officeDocument/2006/relationships/hyperlink" Target="https://doi.org/10.1016/j.aei.2025.103761" TargetMode="External"/><Relationship Id="rId229" Type="http://schemas.openxmlformats.org/officeDocument/2006/relationships/hyperlink" Target="https://saref.etsi.org/saref4inma/v2.1.1/" TargetMode="External"/><Relationship Id="rId240" Type="http://schemas.openxmlformats.org/officeDocument/2006/relationships/hyperlink" Target="https://mlaura1996.github.io/FailureMechanismOntology/"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internet-of-construction.github.io/IoC-Process-Ontology/" TargetMode="External"/><Relationship Id="rId184" Type="http://schemas.openxmlformats.org/officeDocument/2006/relationships/hyperlink" Target="https://saref.etsi.org/core/" TargetMode="External"/><Relationship Id="rId219" Type="http://schemas.openxmlformats.org/officeDocument/2006/relationships/hyperlink" Target="https://ceur-ws.org/Vol-3824/paper7.pdf"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www.w3id.org/opm" TargetMode="External"/><Relationship Id="rId195" Type="http://schemas.openxmlformats.org/officeDocument/2006/relationships/hyperlink" Target="https://w3id.org/sml/def" TargetMode="External"/><Relationship Id="rId209" Type="http://schemas.openxmlformats.org/officeDocument/2006/relationships/hyperlink" Target="https://w3id.org/dano" TargetMode="External"/><Relationship Id="rId220" Type="http://schemas.openxmlformats.org/officeDocument/2006/relationships/hyperlink" Target="https://doi.org/10.1016/j.autcon.2019.01.015" TargetMode="External"/><Relationship Id="rId241" Type="http://schemas.openxmlformats.org/officeDocument/2006/relationships/hyperlink" Target="https://technical.buildingsmart.org/standards/ifc/ifc-formats/ifcowl/"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bimerr.iot.linkeddata.es/" TargetMode="External"/><Relationship Id="rId169" Type="http://schemas.openxmlformats.org/officeDocument/2006/relationships/hyperlink" Target="https://www.sciencedirect.com/science/article/pii/S1474034623003440" TargetMode="External"/><Relationship Id="rId185" Type="http://schemas.openxmlformats.org/officeDocument/2006/relationships/hyperlink" Target="http://vocab.linkeddata.es/datosabiertos/def/medio-ambiente/calidad-ai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grid/" TargetMode="External"/><Relationship Id="rId210" Type="http://schemas.openxmlformats.org/officeDocument/2006/relationships/hyperlink" Target="http://www.opengis.net/ont/geosparql" TargetMode="External"/><Relationship Id="rId215" Type="http://schemas.openxmlformats.org/officeDocument/2006/relationships/hyperlink" Target="http://www.doi.org/10.35490/EC3.2025.263" TargetMode="External"/><Relationship Id="rId236" Type="http://schemas.openxmlformats.org/officeDocument/2006/relationships/hyperlink" Target="https://www.w3id.org/eurocodes/ec1990" TargetMode="External"/><Relationship Id="rId26" Type="http://schemas.openxmlformats.org/officeDocument/2006/relationships/hyperlink" Target="https://icdd.vm.rub.de/ontology/icdd2ams" TargetMode="External"/><Relationship Id="rId231" Type="http://schemas.openxmlformats.org/officeDocument/2006/relationships/hyperlink" Target="https://saref.etsi.org/saref4wear/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s://bimerr.iot.linkeddata.es/" TargetMode="External"/><Relationship Id="rId196" Type="http://schemas.openxmlformats.org/officeDocument/2006/relationships/hyperlink" Target="https://w3id.org/sml/term" TargetMode="External"/><Relationship Id="rId200" Type="http://schemas.openxmlformats.org/officeDocument/2006/relationships/hyperlink" Target="https://w3id.org/nen2660/def"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242" Type="http://schemas.openxmlformats.org/officeDocument/2006/relationships/hyperlink" Target="https://w3id.org/obpi"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depositonce.tu-berlin.de/handle/11303/11740.2" TargetMode="External"/><Relationship Id="rId186" Type="http://schemas.openxmlformats.org/officeDocument/2006/relationships/hyperlink" Target="https://w3id.org/lbd/aec3po/" TargetMode="External"/><Relationship Id="rId211" Type="http://schemas.openxmlformats.org/officeDocument/2006/relationships/hyperlink" Target="http://w3id.org/cterm"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w3id.org/def/saref4bldg" TargetMode="External"/><Relationship Id="rId197" Type="http://schemas.openxmlformats.org/officeDocument/2006/relationships/hyperlink" Target="https://standards.cencenelec.eu/dyn/www/f?p=CEN:110:0::::FSP_PROJECT,FSP_ORG_ID:67839,1991542&amp;cs=1BCE2DE4154949B53FB406C2D4EE5011D" TargetMode="External"/><Relationship Id="rId201" Type="http://schemas.openxmlformats.org/officeDocument/2006/relationships/hyperlink" Target="https://www.nen.nl/nen-2660-2-2022-nl-291667" TargetMode="External"/><Relationship Id="rId222" Type="http://schemas.openxmlformats.org/officeDocument/2006/relationships/hyperlink" Target="https://doi.org/10.1016/j.autcon.2016.05.003" TargetMode="External"/><Relationship Id="rId243" Type="http://schemas.openxmlformats.org/officeDocument/2006/relationships/hyperlink" Target="https://sebseis.github.io/OBPI/"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ec-3.org/publications/conference/paper/?id=EC32023_221" TargetMode="External"/><Relationship Id="rId187" Type="http://schemas.openxmlformats.org/officeDocument/2006/relationships/hyperlink" Target="https://ci.mines-stetienne.fr/aec3po/" TargetMode="External"/><Relationship Id="rId1" Type="http://schemas.openxmlformats.org/officeDocument/2006/relationships/hyperlink" Target="https://bimerr.iot.linkeddata.es/" TargetMode="External"/><Relationship Id="rId212" Type="http://schemas.openxmlformats.org/officeDocument/2006/relationships/hyperlink" Target="https://opengeospatial.github.io/ogc-geosparql/" TargetMode="External"/><Relationship Id="rId233" Type="http://schemas.openxmlformats.org/officeDocument/2006/relationships/hyperlink" Target="https://doi.org/10.1016/j.jpdc.2010.06.005"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saref.etsi.org/s4city/"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saref.etsi.org/saref4agri/v2.1.1/" TargetMode="External"/><Relationship Id="rId244" Type="http://schemas.openxmlformats.org/officeDocument/2006/relationships/printerSettings" Target="../printerSettings/printerSettings1.bin"/><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bimerr.iot.linkeddata.es/" TargetMode="External"/><Relationship Id="rId188" Type="http://schemas.openxmlformats.org/officeDocument/2006/relationships/hyperlink" Target="https://doi.org/10.1016/j.autcon.2022.104728"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w3id.org/cr" TargetMode="External"/><Relationship Id="rId234" Type="http://schemas.openxmlformats.org/officeDocument/2006/relationships/hyperlink" Target="https://w3id.org/aic"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ener/"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w3id.org/nen2660/term" TargetMode="External"/><Relationship Id="rId203" Type="http://schemas.openxmlformats.org/officeDocument/2006/relationships/hyperlink" Target="https://w3id.org/cdc"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 TargetMode="External"/><Relationship Id="rId245" Type="http://schemas.openxmlformats.org/officeDocument/2006/relationships/vmlDrawing" Target="../drawings/vmlDrawing1.v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w3id.org/mdo/core/"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www.w3id.org/fso"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ww.doi.org/10.35490/EC3.2025.263" TargetMode="External"/><Relationship Id="rId235" Type="http://schemas.openxmlformats.org/officeDocument/2006/relationships/hyperlink" Target="https://digiconstructlab-tu-delft.github.io/AiC-Ontology/"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vi/" TargetMode="External"/><Relationship Id="rId190" Type="http://schemas.openxmlformats.org/officeDocument/2006/relationships/hyperlink" Target="https://github.com/alikucukavci/FSO/" TargetMode="External"/><Relationship Id="rId204" Type="http://schemas.openxmlformats.org/officeDocument/2006/relationships/hyperlink" Target="https://doi.org/10.1016/j.aei.2024.102446" TargetMode="External"/><Relationship Id="rId225" Type="http://schemas.openxmlformats.org/officeDocument/2006/relationships/hyperlink" Target="https://saref.etsi.org/saref4auto/v2.1.1/" TargetMode="External"/><Relationship Id="rId246" Type="http://schemas.openxmlformats.org/officeDocument/2006/relationships/table" Target="../tables/table1.xml"/><Relationship Id="rId106" Type="http://schemas.openxmlformats.org/officeDocument/2006/relationships/hyperlink" Target="https://cogito.iot.linkeddata.es/def/facility" TargetMode="External"/><Relationship Id="rId127" Type="http://schemas.openxmlformats.org/officeDocument/2006/relationships/hyperlink" Target="https://saref.etsi.org/saref4c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5"/>
  <sheetViews>
    <sheetView tabSelected="1" zoomScale="70" zoomScaleNormal="70" workbookViewId="0">
      <pane xSplit="2" ySplit="1" topLeftCell="C2" activePane="bottomRight" state="frozen"/>
      <selection pane="topRight" activeCell="C1" sqref="C1"/>
      <selection pane="bottomLeft" activeCell="A2" sqref="A2"/>
      <selection pane="bottomRight"/>
    </sheetView>
  </sheetViews>
  <sheetFormatPr defaultRowHeight="14.5" x14ac:dyDescent="0.35"/>
  <cols>
    <col min="1" max="1" width="50.54296875" customWidth="1"/>
    <col min="2" max="2" width="15.54296875" customWidth="1"/>
    <col min="3" max="3" width="10" style="17" customWidth="1"/>
    <col min="4" max="4" width="16.453125" customWidth="1"/>
    <col min="5" max="5" width="22" hidden="1" customWidth="1"/>
    <col min="6" max="6" width="17.453125" customWidth="1"/>
    <col min="7" max="7" width="19.54296875" customWidth="1"/>
    <col min="8" max="8" width="13.453125" hidden="1" customWidth="1"/>
    <col min="9" max="9" width="22.1796875" hidden="1" customWidth="1"/>
    <col min="10" max="10" width="13.54296875" hidden="1" customWidth="1"/>
    <col min="11" max="11" width="11.453125" customWidth="1"/>
    <col min="12" max="12" width="16.54296875" customWidth="1"/>
    <col min="13" max="13" width="18.453125" customWidth="1"/>
    <col min="14" max="14" width="21.54296875" customWidth="1"/>
    <col min="15" max="15" width="12.453125" customWidth="1"/>
    <col min="16" max="16" width="26.54296875" style="3" customWidth="1"/>
    <col min="17" max="17" width="46" style="3" customWidth="1"/>
    <col min="18" max="18" width="27.54296875" style="9" customWidth="1"/>
    <col min="19" max="19" width="34.54296875" style="9" customWidth="1"/>
    <col min="20" max="20" width="34.1796875" style="9" customWidth="1"/>
    <col min="21" max="21" width="32.1796875" style="9" customWidth="1"/>
    <col min="22" max="22" width="26.1796875" style="9" customWidth="1"/>
    <col min="23" max="23" width="20" style="9" customWidth="1"/>
    <col min="24" max="24" width="21.453125" style="9" customWidth="1"/>
    <col min="25" max="25" width="19.54296875" style="9" customWidth="1"/>
    <col min="26" max="26" width="19" style="9" customWidth="1"/>
    <col min="27" max="27" width="13.453125" hidden="1" customWidth="1"/>
  </cols>
  <sheetData>
    <row r="1" spans="1:34" x14ac:dyDescent="0.35">
      <c r="A1" s="36" t="s">
        <v>945</v>
      </c>
      <c r="B1" t="s">
        <v>20</v>
      </c>
      <c r="C1" s="17" t="s">
        <v>21</v>
      </c>
      <c r="D1" s="28" t="s">
        <v>927</v>
      </c>
      <c r="E1" t="s">
        <v>22</v>
      </c>
      <c r="F1" t="s">
        <v>23</v>
      </c>
      <c r="G1" t="s">
        <v>24</v>
      </c>
      <c r="H1" t="s">
        <v>25</v>
      </c>
      <c r="I1" t="s">
        <v>26</v>
      </c>
      <c r="J1" t="s">
        <v>27</v>
      </c>
      <c r="K1" s="28" t="s">
        <v>928</v>
      </c>
      <c r="L1" s="28" t="s">
        <v>929</v>
      </c>
      <c r="M1" s="28" t="s">
        <v>930</v>
      </c>
      <c r="N1" s="27" t="s">
        <v>926</v>
      </c>
      <c r="O1" s="27" t="s">
        <v>931</v>
      </c>
      <c r="P1" s="3" t="s">
        <v>28</v>
      </c>
      <c r="Q1" s="3" t="s">
        <v>29</v>
      </c>
      <c r="R1" s="9" t="s">
        <v>30</v>
      </c>
      <c r="S1" s="9" t="s">
        <v>31</v>
      </c>
      <c r="T1" s="9" t="s">
        <v>32</v>
      </c>
      <c r="U1" s="9" t="s">
        <v>33</v>
      </c>
      <c r="V1" s="9" t="s">
        <v>34</v>
      </c>
      <c r="W1" s="9" t="s">
        <v>35</v>
      </c>
      <c r="X1" s="9" t="s">
        <v>36</v>
      </c>
      <c r="Y1" s="9" t="s">
        <v>37</v>
      </c>
      <c r="Z1" s="9" t="s">
        <v>723</v>
      </c>
      <c r="AA1" t="s">
        <v>38</v>
      </c>
      <c r="AB1" t="s">
        <v>896</v>
      </c>
      <c r="AC1" t="s">
        <v>39</v>
      </c>
      <c r="AD1" t="s">
        <v>897</v>
      </c>
      <c r="AE1" t="s">
        <v>40</v>
      </c>
      <c r="AF1" t="s">
        <v>41</v>
      </c>
      <c r="AG1" t="s">
        <v>42</v>
      </c>
      <c r="AH1" t="s">
        <v>719</v>
      </c>
    </row>
    <row r="2" spans="1:34" x14ac:dyDescent="0.35">
      <c r="A2" t="s">
        <v>601</v>
      </c>
      <c r="B2" s="6" t="s">
        <v>602</v>
      </c>
      <c r="C2" s="17">
        <v>1.1200000000000001</v>
      </c>
      <c r="D2">
        <v>2013</v>
      </c>
      <c r="F2" t="s">
        <v>0</v>
      </c>
      <c r="K2" t="s">
        <v>66</v>
      </c>
      <c r="M2" t="s">
        <v>603</v>
      </c>
      <c r="N2" t="s">
        <v>66</v>
      </c>
      <c r="O2" s="1" t="s">
        <v>604</v>
      </c>
      <c r="P2" s="3" t="s">
        <v>605</v>
      </c>
      <c r="Q2" s="3" t="s">
        <v>66</v>
      </c>
      <c r="R2" s="9" t="s">
        <v>54</v>
      </c>
      <c r="S2" s="9" t="s">
        <v>53</v>
      </c>
      <c r="T2" s="9" t="s">
        <v>54</v>
      </c>
      <c r="U2" s="9" t="s">
        <v>54</v>
      </c>
      <c r="V2" s="9" t="s">
        <v>53</v>
      </c>
      <c r="W2" s="9" t="s">
        <v>54</v>
      </c>
      <c r="X2" s="9" t="s">
        <v>54</v>
      </c>
      <c r="Y2" s="9" t="s">
        <v>54</v>
      </c>
      <c r="Z2" s="9" t="s">
        <v>54</v>
      </c>
      <c r="AA2" s="8" t="s">
        <v>71</v>
      </c>
      <c r="AB2">
        <f t="shared" ref="AB2:AB33" si="0">COUNTIF(R2:T2, "yes")</f>
        <v>1</v>
      </c>
      <c r="AC2">
        <f t="shared" ref="AC2:AC33" si="1">COUNTIF(U2:W2, "yes")</f>
        <v>1</v>
      </c>
      <c r="AD2">
        <f t="shared" ref="AD2:AD33" si="2">COUNTIF(X2:Z2, "yes")</f>
        <v>0</v>
      </c>
      <c r="AE2" t="s">
        <v>54</v>
      </c>
      <c r="AF2" t="s">
        <v>66</v>
      </c>
      <c r="AG2">
        <v>15</v>
      </c>
      <c r="AH2" t="s">
        <v>53</v>
      </c>
    </row>
    <row r="3" spans="1:34" ht="29" x14ac:dyDescent="0.35">
      <c r="A3" t="s">
        <v>898</v>
      </c>
      <c r="B3" t="s">
        <v>647</v>
      </c>
      <c r="C3" s="17" t="s">
        <v>66</v>
      </c>
      <c r="D3">
        <v>2025</v>
      </c>
      <c r="F3" t="s">
        <v>13</v>
      </c>
      <c r="K3" t="s">
        <v>66</v>
      </c>
      <c r="M3" t="s">
        <v>648</v>
      </c>
      <c r="N3" s="1" t="s">
        <v>649</v>
      </c>
      <c r="O3" s="1" t="s">
        <v>650</v>
      </c>
      <c r="P3" s="21" t="s">
        <v>651</v>
      </c>
      <c r="Q3" s="3" t="s">
        <v>724</v>
      </c>
      <c r="R3" s="9" t="s">
        <v>53</v>
      </c>
      <c r="S3" s="9" t="s">
        <v>53</v>
      </c>
      <c r="T3" s="9" t="s">
        <v>54</v>
      </c>
      <c r="U3" s="9" t="s">
        <v>53</v>
      </c>
      <c r="V3" s="9" t="s">
        <v>54</v>
      </c>
      <c r="W3" s="9" t="s">
        <v>53</v>
      </c>
      <c r="X3" s="9" t="s">
        <v>53</v>
      </c>
      <c r="Y3" s="9" t="s">
        <v>53</v>
      </c>
      <c r="Z3" s="9" t="s">
        <v>54</v>
      </c>
      <c r="AA3" s="8"/>
      <c r="AB3">
        <f t="shared" si="0"/>
        <v>2</v>
      </c>
      <c r="AC3">
        <f t="shared" si="1"/>
        <v>2</v>
      </c>
      <c r="AD3">
        <f t="shared" si="2"/>
        <v>2</v>
      </c>
      <c r="AE3" t="s">
        <v>54</v>
      </c>
      <c r="AF3" t="s">
        <v>66</v>
      </c>
      <c r="AH3" t="s">
        <v>53</v>
      </c>
    </row>
    <row r="4" spans="1:34" x14ac:dyDescent="0.35">
      <c r="A4" t="s">
        <v>58</v>
      </c>
      <c r="B4" t="s">
        <v>59</v>
      </c>
      <c r="C4" s="17">
        <v>0.2</v>
      </c>
      <c r="D4">
        <v>2021</v>
      </c>
      <c r="F4" t="s">
        <v>0</v>
      </c>
      <c r="K4" t="s">
        <v>60</v>
      </c>
      <c r="M4" t="s">
        <v>61</v>
      </c>
      <c r="N4" s="4" t="s">
        <v>783</v>
      </c>
      <c r="O4" s="1" t="s">
        <v>782</v>
      </c>
      <c r="P4" s="3" t="s">
        <v>62</v>
      </c>
      <c r="Q4" s="3" t="s">
        <v>725</v>
      </c>
      <c r="R4" s="9" t="s">
        <v>53</v>
      </c>
      <c r="S4" s="9" t="s">
        <v>53</v>
      </c>
      <c r="T4" s="9" t="s">
        <v>54</v>
      </c>
      <c r="U4" s="9" t="s">
        <v>53</v>
      </c>
      <c r="V4" s="9" t="s">
        <v>53</v>
      </c>
      <c r="W4" s="9" t="s">
        <v>53</v>
      </c>
      <c r="X4" s="9" t="s">
        <v>53</v>
      </c>
      <c r="Y4" s="9" t="s">
        <v>53</v>
      </c>
      <c r="Z4" s="9" t="s">
        <v>53</v>
      </c>
      <c r="AA4" s="8" t="s">
        <v>55</v>
      </c>
      <c r="AB4">
        <f t="shared" si="0"/>
        <v>2</v>
      </c>
      <c r="AC4">
        <f t="shared" si="1"/>
        <v>3</v>
      </c>
      <c r="AD4">
        <f t="shared" si="2"/>
        <v>3</v>
      </c>
      <c r="AE4" t="s">
        <v>54</v>
      </c>
      <c r="AF4" t="s">
        <v>66</v>
      </c>
      <c r="AH4" t="s">
        <v>53</v>
      </c>
    </row>
    <row r="5" spans="1:34" x14ac:dyDescent="0.35">
      <c r="A5" t="s">
        <v>64</v>
      </c>
      <c r="B5" t="s">
        <v>65</v>
      </c>
      <c r="C5" s="17" t="s">
        <v>66</v>
      </c>
      <c r="D5">
        <v>2022</v>
      </c>
      <c r="E5" t="s">
        <v>67</v>
      </c>
      <c r="F5" t="s">
        <v>1</v>
      </c>
      <c r="G5" t="s">
        <v>15</v>
      </c>
      <c r="K5" t="s">
        <v>47</v>
      </c>
      <c r="M5" t="s">
        <v>68</v>
      </c>
      <c r="N5" s="1" t="s">
        <v>69</v>
      </c>
      <c r="O5" s="1" t="s">
        <v>70</v>
      </c>
      <c r="P5" s="3" t="s">
        <v>66</v>
      </c>
      <c r="Q5" s="3" t="s">
        <v>725</v>
      </c>
      <c r="R5" s="9" t="s">
        <v>53</v>
      </c>
      <c r="S5" s="9" t="s">
        <v>54</v>
      </c>
      <c r="T5" s="9" t="s">
        <v>54</v>
      </c>
      <c r="U5" s="9" t="s">
        <v>53</v>
      </c>
      <c r="V5" s="9" t="s">
        <v>53</v>
      </c>
      <c r="W5" s="9" t="s">
        <v>53</v>
      </c>
      <c r="X5" s="9" t="s">
        <v>53</v>
      </c>
      <c r="Y5" s="9" t="s">
        <v>53</v>
      </c>
      <c r="Z5" s="9" t="s">
        <v>53</v>
      </c>
      <c r="AA5" s="8" t="s">
        <v>71</v>
      </c>
      <c r="AB5">
        <f t="shared" si="0"/>
        <v>1</v>
      </c>
      <c r="AC5">
        <f t="shared" si="1"/>
        <v>3</v>
      </c>
      <c r="AD5">
        <f t="shared" si="2"/>
        <v>3</v>
      </c>
      <c r="AE5" t="s">
        <v>54</v>
      </c>
      <c r="AF5" t="s">
        <v>66</v>
      </c>
      <c r="AG5">
        <v>15</v>
      </c>
      <c r="AH5" t="s">
        <v>53</v>
      </c>
    </row>
    <row r="6" spans="1:34" x14ac:dyDescent="0.35">
      <c r="A6" t="s">
        <v>355</v>
      </c>
      <c r="B6" t="s">
        <v>356</v>
      </c>
      <c r="C6" s="17" t="s">
        <v>66</v>
      </c>
      <c r="D6">
        <v>2021</v>
      </c>
      <c r="E6" t="s">
        <v>357</v>
      </c>
      <c r="F6" t="s">
        <v>1</v>
      </c>
      <c r="G6" t="s">
        <v>15</v>
      </c>
      <c r="K6" t="s">
        <v>47</v>
      </c>
      <c r="L6" t="s">
        <v>358</v>
      </c>
      <c r="M6" t="s">
        <v>784</v>
      </c>
      <c r="N6" s="1" t="s">
        <v>359</v>
      </c>
      <c r="O6" s="1" t="s">
        <v>360</v>
      </c>
      <c r="P6" s="3" t="s">
        <v>361</v>
      </c>
      <c r="Q6" s="3" t="s">
        <v>726</v>
      </c>
      <c r="R6" s="9" t="s">
        <v>53</v>
      </c>
      <c r="S6" s="9" t="s">
        <v>53</v>
      </c>
      <c r="T6" s="9" t="s">
        <v>53</v>
      </c>
      <c r="U6" s="9" t="s">
        <v>54</v>
      </c>
      <c r="V6" s="9" t="s">
        <v>53</v>
      </c>
      <c r="W6" s="9" t="s">
        <v>53</v>
      </c>
      <c r="X6" s="9" t="s">
        <v>53</v>
      </c>
      <c r="Y6" s="9" t="s">
        <v>53</v>
      </c>
      <c r="Z6" s="9" t="s">
        <v>54</v>
      </c>
      <c r="AA6" s="8" t="s">
        <v>71</v>
      </c>
      <c r="AB6">
        <f t="shared" si="0"/>
        <v>3</v>
      </c>
      <c r="AC6">
        <f t="shared" si="1"/>
        <v>2</v>
      </c>
      <c r="AD6">
        <f t="shared" si="2"/>
        <v>2</v>
      </c>
      <c r="AE6" t="s">
        <v>54</v>
      </c>
      <c r="AF6" t="s">
        <v>66</v>
      </c>
      <c r="AG6">
        <v>0</v>
      </c>
      <c r="AH6" t="s">
        <v>53</v>
      </c>
    </row>
    <row r="7" spans="1:34" x14ac:dyDescent="0.35">
      <c r="A7" t="s">
        <v>92</v>
      </c>
      <c r="B7" t="s">
        <v>93</v>
      </c>
      <c r="C7" s="17">
        <v>1.1000000000000001</v>
      </c>
      <c r="D7">
        <v>2020</v>
      </c>
      <c r="E7" t="s">
        <v>4</v>
      </c>
      <c r="F7" t="s">
        <v>4</v>
      </c>
      <c r="K7" t="s">
        <v>94</v>
      </c>
      <c r="M7" t="s">
        <v>95</v>
      </c>
      <c r="N7" t="s">
        <v>66</v>
      </c>
      <c r="O7" s="1" t="s">
        <v>96</v>
      </c>
      <c r="P7" s="3" t="s">
        <v>66</v>
      </c>
      <c r="Q7" s="3" t="s">
        <v>727</v>
      </c>
      <c r="R7" s="9" t="s">
        <v>53</v>
      </c>
      <c r="S7" s="9" t="s">
        <v>54</v>
      </c>
      <c r="T7" s="9" t="s">
        <v>54</v>
      </c>
      <c r="U7" s="9" t="s">
        <v>53</v>
      </c>
      <c r="V7" s="9" t="s">
        <v>54</v>
      </c>
      <c r="W7" s="9" t="s">
        <v>54</v>
      </c>
      <c r="X7" s="9" t="s">
        <v>53</v>
      </c>
      <c r="Y7" s="9" t="s">
        <v>54</v>
      </c>
      <c r="Z7" s="18" t="s">
        <v>54</v>
      </c>
      <c r="AA7" s="8" t="s">
        <v>97</v>
      </c>
      <c r="AB7">
        <f t="shared" si="0"/>
        <v>1</v>
      </c>
      <c r="AC7">
        <f t="shared" si="1"/>
        <v>1</v>
      </c>
      <c r="AD7">
        <f t="shared" si="2"/>
        <v>1</v>
      </c>
      <c r="AE7" t="s">
        <v>54</v>
      </c>
      <c r="AF7" t="s">
        <v>66</v>
      </c>
      <c r="AG7">
        <v>15</v>
      </c>
      <c r="AH7" t="s">
        <v>54</v>
      </c>
    </row>
    <row r="8" spans="1:34" x14ac:dyDescent="0.35">
      <c r="A8" t="s">
        <v>83</v>
      </c>
      <c r="B8" t="s">
        <v>84</v>
      </c>
      <c r="C8" s="17" t="s">
        <v>85</v>
      </c>
      <c r="D8">
        <v>2022</v>
      </c>
      <c r="E8" t="s">
        <v>86</v>
      </c>
      <c r="F8" t="s">
        <v>9</v>
      </c>
      <c r="K8" t="s">
        <v>47</v>
      </c>
      <c r="L8" t="s">
        <v>87</v>
      </c>
      <c r="M8" t="s">
        <v>88</v>
      </c>
      <c r="N8" s="1" t="s">
        <v>89</v>
      </c>
      <c r="O8" s="1" t="s">
        <v>90</v>
      </c>
      <c r="P8" s="3" t="s">
        <v>66</v>
      </c>
      <c r="Q8" s="3" t="s">
        <v>728</v>
      </c>
      <c r="R8" s="9" t="s">
        <v>53</v>
      </c>
      <c r="S8" s="9" t="s">
        <v>54</v>
      </c>
      <c r="T8" s="9" t="s">
        <v>54</v>
      </c>
      <c r="U8" s="9" t="s">
        <v>53</v>
      </c>
      <c r="V8" s="9" t="s">
        <v>53</v>
      </c>
      <c r="W8" s="9" t="s">
        <v>53</v>
      </c>
      <c r="X8" s="9" t="s">
        <v>53</v>
      </c>
      <c r="Y8" s="9" t="s">
        <v>53</v>
      </c>
      <c r="Z8" s="18" t="s">
        <v>53</v>
      </c>
      <c r="AA8" s="8" t="s">
        <v>91</v>
      </c>
      <c r="AB8">
        <f t="shared" si="0"/>
        <v>1</v>
      </c>
      <c r="AC8">
        <f t="shared" si="1"/>
        <v>3</v>
      </c>
      <c r="AD8">
        <f t="shared" si="2"/>
        <v>3</v>
      </c>
      <c r="AE8" t="s">
        <v>54</v>
      </c>
      <c r="AF8" t="s">
        <v>66</v>
      </c>
      <c r="AG8">
        <v>22</v>
      </c>
      <c r="AH8" t="s">
        <v>54</v>
      </c>
    </row>
    <row r="9" spans="1:34" x14ac:dyDescent="0.35">
      <c r="A9" t="s">
        <v>104</v>
      </c>
      <c r="B9" t="s">
        <v>105</v>
      </c>
      <c r="D9">
        <v>2017</v>
      </c>
      <c r="F9" t="s">
        <v>0</v>
      </c>
      <c r="K9" t="s">
        <v>66</v>
      </c>
      <c r="M9" t="s">
        <v>106</v>
      </c>
      <c r="N9" t="s">
        <v>66</v>
      </c>
      <c r="O9" s="1" t="s">
        <v>107</v>
      </c>
      <c r="P9" s="3" t="s">
        <v>108</v>
      </c>
      <c r="Q9" s="3" t="s">
        <v>109</v>
      </c>
      <c r="R9" s="9" t="s">
        <v>53</v>
      </c>
      <c r="S9" s="9" t="s">
        <v>53</v>
      </c>
      <c r="T9" s="9" t="s">
        <v>54</v>
      </c>
      <c r="U9" s="9" t="s">
        <v>53</v>
      </c>
      <c r="V9" s="9" t="s">
        <v>54</v>
      </c>
      <c r="W9" s="9" t="s">
        <v>54</v>
      </c>
      <c r="X9" s="9" t="s">
        <v>53</v>
      </c>
      <c r="Y9" s="9" t="s">
        <v>54</v>
      </c>
      <c r="Z9" s="18" t="s">
        <v>54</v>
      </c>
      <c r="AA9" s="8" t="s">
        <v>71</v>
      </c>
      <c r="AB9">
        <f t="shared" si="0"/>
        <v>2</v>
      </c>
      <c r="AC9">
        <f t="shared" si="1"/>
        <v>1</v>
      </c>
      <c r="AD9">
        <f t="shared" si="2"/>
        <v>1</v>
      </c>
      <c r="AE9" t="s">
        <v>54</v>
      </c>
      <c r="AF9" t="s">
        <v>66</v>
      </c>
      <c r="AG9">
        <v>15</v>
      </c>
      <c r="AH9" t="s">
        <v>54</v>
      </c>
    </row>
    <row r="10" spans="1:34" x14ac:dyDescent="0.35">
      <c r="A10" t="s">
        <v>110</v>
      </c>
      <c r="B10" t="s">
        <v>111</v>
      </c>
      <c r="D10">
        <v>2017</v>
      </c>
      <c r="F10" t="s">
        <v>0</v>
      </c>
      <c r="K10" t="s">
        <v>66</v>
      </c>
      <c r="M10" t="s">
        <v>112</v>
      </c>
      <c r="N10" t="s">
        <v>66</v>
      </c>
      <c r="O10" s="1" t="s">
        <v>107</v>
      </c>
      <c r="P10" s="3" t="s">
        <v>113</v>
      </c>
      <c r="Q10" s="3" t="s">
        <v>109</v>
      </c>
      <c r="R10" s="9" t="s">
        <v>53</v>
      </c>
      <c r="S10" s="9" t="s">
        <v>54</v>
      </c>
      <c r="T10" s="9" t="s">
        <v>54</v>
      </c>
      <c r="U10" s="9" t="s">
        <v>53</v>
      </c>
      <c r="V10" s="9" t="s">
        <v>54</v>
      </c>
      <c r="W10" s="9" t="s">
        <v>54</v>
      </c>
      <c r="X10" s="9" t="s">
        <v>53</v>
      </c>
      <c r="Y10" s="9" t="s">
        <v>54</v>
      </c>
      <c r="Z10" s="18" t="s">
        <v>54</v>
      </c>
      <c r="AA10" s="8" t="s">
        <v>82</v>
      </c>
      <c r="AB10">
        <f t="shared" si="0"/>
        <v>1</v>
      </c>
      <c r="AC10">
        <f t="shared" si="1"/>
        <v>1</v>
      </c>
      <c r="AD10">
        <f t="shared" si="2"/>
        <v>1</v>
      </c>
      <c r="AE10" t="s">
        <v>54</v>
      </c>
      <c r="AF10" t="s">
        <v>66</v>
      </c>
      <c r="AG10">
        <v>15</v>
      </c>
      <c r="AH10" t="s">
        <v>54</v>
      </c>
    </row>
    <row r="11" spans="1:34" x14ac:dyDescent="0.35">
      <c r="A11" t="s">
        <v>43</v>
      </c>
      <c r="B11" t="s">
        <v>44</v>
      </c>
      <c r="C11" s="17" t="s">
        <v>45</v>
      </c>
      <c r="D11">
        <v>2020</v>
      </c>
      <c r="E11" t="s">
        <v>46</v>
      </c>
      <c r="F11" t="s">
        <v>9</v>
      </c>
      <c r="K11" t="s">
        <v>47</v>
      </c>
      <c r="M11" t="s">
        <v>48</v>
      </c>
      <c r="N11" s="2" t="s">
        <v>49</v>
      </c>
      <c r="O11" s="1" t="s">
        <v>50</v>
      </c>
      <c r="P11" s="3" t="s">
        <v>51</v>
      </c>
      <c r="Q11" s="3" t="s">
        <v>52</v>
      </c>
      <c r="R11" s="9" t="s">
        <v>53</v>
      </c>
      <c r="S11" s="9" t="s">
        <v>54</v>
      </c>
      <c r="T11" s="9" t="s">
        <v>54</v>
      </c>
      <c r="U11" s="9" t="s">
        <v>53</v>
      </c>
      <c r="V11" s="9" t="s">
        <v>53</v>
      </c>
      <c r="W11" s="9" t="s">
        <v>53</v>
      </c>
      <c r="X11" s="9" t="s">
        <v>53</v>
      </c>
      <c r="Y11" s="9" t="s">
        <v>53</v>
      </c>
      <c r="Z11" s="18" t="s">
        <v>54</v>
      </c>
      <c r="AA11" s="8" t="s">
        <v>55</v>
      </c>
      <c r="AB11">
        <f t="shared" si="0"/>
        <v>1</v>
      </c>
      <c r="AC11">
        <f t="shared" si="1"/>
        <v>3</v>
      </c>
      <c r="AD11">
        <f t="shared" si="2"/>
        <v>2</v>
      </c>
      <c r="AE11" t="s">
        <v>53</v>
      </c>
      <c r="AF11" t="s">
        <v>57</v>
      </c>
      <c r="AG11">
        <v>15</v>
      </c>
      <c r="AH11" t="s">
        <v>54</v>
      </c>
    </row>
    <row r="12" spans="1:34" x14ac:dyDescent="0.35">
      <c r="A12" t="s">
        <v>154</v>
      </c>
      <c r="B12" t="s">
        <v>155</v>
      </c>
      <c r="C12" s="17" t="s">
        <v>156</v>
      </c>
      <c r="D12">
        <v>2020</v>
      </c>
      <c r="E12" t="s">
        <v>101</v>
      </c>
      <c r="F12" t="s">
        <v>0</v>
      </c>
      <c r="K12" t="s">
        <v>47</v>
      </c>
      <c r="M12" t="s">
        <v>157</v>
      </c>
      <c r="N12" s="2" t="s">
        <v>158</v>
      </c>
      <c r="O12" s="1" t="s">
        <v>50</v>
      </c>
      <c r="P12" s="3" t="s">
        <v>159</v>
      </c>
      <c r="Q12" s="3" t="s">
        <v>160</v>
      </c>
      <c r="R12" s="9" t="s">
        <v>53</v>
      </c>
      <c r="S12" s="9" t="s">
        <v>53</v>
      </c>
      <c r="T12" s="9" t="s">
        <v>53</v>
      </c>
      <c r="U12" s="9" t="s">
        <v>53</v>
      </c>
      <c r="V12" s="9" t="s">
        <v>53</v>
      </c>
      <c r="W12" s="9" t="s">
        <v>53</v>
      </c>
      <c r="X12" s="9" t="s">
        <v>53</v>
      </c>
      <c r="Y12" s="9" t="s">
        <v>53</v>
      </c>
      <c r="Z12" s="18" t="s">
        <v>53</v>
      </c>
      <c r="AA12" s="8" t="s">
        <v>55</v>
      </c>
      <c r="AB12">
        <f t="shared" si="0"/>
        <v>3</v>
      </c>
      <c r="AC12">
        <f t="shared" si="1"/>
        <v>3</v>
      </c>
      <c r="AD12">
        <f t="shared" si="2"/>
        <v>3</v>
      </c>
      <c r="AE12" t="s">
        <v>53</v>
      </c>
      <c r="AF12" t="s">
        <v>57</v>
      </c>
      <c r="AG12">
        <v>15</v>
      </c>
      <c r="AH12" t="s">
        <v>54</v>
      </c>
    </row>
    <row r="13" spans="1:34" x14ac:dyDescent="0.35">
      <c r="A13" t="s">
        <v>376</v>
      </c>
      <c r="B13" t="s">
        <v>377</v>
      </c>
      <c r="C13" s="17" t="s">
        <v>378</v>
      </c>
      <c r="D13">
        <v>2020</v>
      </c>
      <c r="E13" t="s">
        <v>46</v>
      </c>
      <c r="F13" t="s">
        <v>9</v>
      </c>
      <c r="K13" t="s">
        <v>47</v>
      </c>
      <c r="M13" t="s">
        <v>379</v>
      </c>
      <c r="N13" s="2" t="s">
        <v>380</v>
      </c>
      <c r="O13" s="1" t="s">
        <v>50</v>
      </c>
      <c r="P13" s="3" t="s">
        <v>66</v>
      </c>
      <c r="Q13" s="3" t="s">
        <v>727</v>
      </c>
      <c r="R13" s="9" t="s">
        <v>53</v>
      </c>
      <c r="S13" s="9" t="s">
        <v>53</v>
      </c>
      <c r="T13" s="9" t="s">
        <v>54</v>
      </c>
      <c r="U13" s="9" t="s">
        <v>53</v>
      </c>
      <c r="V13" s="9" t="s">
        <v>53</v>
      </c>
      <c r="W13" s="9" t="s">
        <v>53</v>
      </c>
      <c r="X13" s="9" t="s">
        <v>53</v>
      </c>
      <c r="Y13" s="9" t="s">
        <v>53</v>
      </c>
      <c r="Z13" s="18" t="s">
        <v>53</v>
      </c>
      <c r="AA13" s="8" t="s">
        <v>55</v>
      </c>
      <c r="AB13">
        <f t="shared" si="0"/>
        <v>2</v>
      </c>
      <c r="AC13">
        <f t="shared" si="1"/>
        <v>3</v>
      </c>
      <c r="AD13">
        <f t="shared" si="2"/>
        <v>3</v>
      </c>
      <c r="AE13" t="s">
        <v>53</v>
      </c>
      <c r="AF13" t="s">
        <v>57</v>
      </c>
      <c r="AG13">
        <v>15</v>
      </c>
      <c r="AH13" t="s">
        <v>54</v>
      </c>
    </row>
    <row r="14" spans="1:34" x14ac:dyDescent="0.35">
      <c r="A14" t="s">
        <v>396</v>
      </c>
      <c r="B14" t="s">
        <v>397</v>
      </c>
      <c r="C14" s="17" t="s">
        <v>156</v>
      </c>
      <c r="D14">
        <v>2020</v>
      </c>
      <c r="E14" t="s">
        <v>46</v>
      </c>
      <c r="F14" t="s">
        <v>4</v>
      </c>
      <c r="K14" t="s">
        <v>47</v>
      </c>
      <c r="M14" t="s">
        <v>398</v>
      </c>
      <c r="N14" s="2" t="s">
        <v>399</v>
      </c>
      <c r="O14" s="1" t="s">
        <v>50</v>
      </c>
      <c r="P14" s="3" t="s">
        <v>400</v>
      </c>
      <c r="Q14" s="3" t="s">
        <v>729</v>
      </c>
      <c r="R14" s="9" t="s">
        <v>53</v>
      </c>
      <c r="S14" s="9" t="s">
        <v>53</v>
      </c>
      <c r="T14" s="9" t="s">
        <v>54</v>
      </c>
      <c r="U14" s="9" t="s">
        <v>53</v>
      </c>
      <c r="V14" s="9" t="s">
        <v>53</v>
      </c>
      <c r="W14" s="9" t="s">
        <v>53</v>
      </c>
      <c r="X14" s="9" t="s">
        <v>53</v>
      </c>
      <c r="Y14" s="9" t="s">
        <v>53</v>
      </c>
      <c r="Z14" s="18" t="s">
        <v>53</v>
      </c>
      <c r="AA14" s="8" t="s">
        <v>55</v>
      </c>
      <c r="AB14">
        <f t="shared" si="0"/>
        <v>2</v>
      </c>
      <c r="AC14">
        <f t="shared" si="1"/>
        <v>3</v>
      </c>
      <c r="AD14">
        <f t="shared" si="2"/>
        <v>3</v>
      </c>
      <c r="AE14" t="s">
        <v>53</v>
      </c>
      <c r="AF14" t="s">
        <v>57</v>
      </c>
      <c r="AH14" t="s">
        <v>54</v>
      </c>
    </row>
    <row r="15" spans="1:34" x14ac:dyDescent="0.35">
      <c r="A15" t="s">
        <v>409</v>
      </c>
      <c r="B15" t="s">
        <v>410</v>
      </c>
      <c r="C15" s="17" t="s">
        <v>100</v>
      </c>
      <c r="D15">
        <v>2020</v>
      </c>
      <c r="E15" t="s">
        <v>11</v>
      </c>
      <c r="F15" t="s">
        <v>11</v>
      </c>
      <c r="K15" t="s">
        <v>47</v>
      </c>
      <c r="M15" t="s">
        <v>411</v>
      </c>
      <c r="N15" s="2" t="s">
        <v>412</v>
      </c>
      <c r="O15" s="1" t="s">
        <v>50</v>
      </c>
      <c r="P15" s="3" t="s">
        <v>413</v>
      </c>
      <c r="Q15" s="3" t="s">
        <v>414</v>
      </c>
      <c r="R15" s="9" t="s">
        <v>53</v>
      </c>
      <c r="S15" s="9" t="s">
        <v>53</v>
      </c>
      <c r="T15" s="9" t="s">
        <v>54</v>
      </c>
      <c r="U15" s="9" t="s">
        <v>53</v>
      </c>
      <c r="V15" s="9" t="s">
        <v>53</v>
      </c>
      <c r="W15" s="9" t="s">
        <v>53</v>
      </c>
      <c r="X15" s="9" t="s">
        <v>53</v>
      </c>
      <c r="Y15" s="9" t="s">
        <v>53</v>
      </c>
      <c r="Z15" s="18" t="s">
        <v>53</v>
      </c>
      <c r="AA15" s="8" t="s">
        <v>55</v>
      </c>
      <c r="AB15">
        <f t="shared" si="0"/>
        <v>2</v>
      </c>
      <c r="AC15">
        <f t="shared" si="1"/>
        <v>3</v>
      </c>
      <c r="AD15">
        <f t="shared" si="2"/>
        <v>3</v>
      </c>
      <c r="AE15" t="s">
        <v>53</v>
      </c>
      <c r="AF15" t="s">
        <v>57</v>
      </c>
      <c r="AH15" t="s">
        <v>54</v>
      </c>
    </row>
    <row r="16" spans="1:34" x14ac:dyDescent="0.35">
      <c r="A16" t="s">
        <v>114</v>
      </c>
      <c r="B16" t="s">
        <v>115</v>
      </c>
      <c r="C16" s="17" t="s">
        <v>116</v>
      </c>
      <c r="D16">
        <v>2020</v>
      </c>
      <c r="E16" t="s">
        <v>46</v>
      </c>
      <c r="F16" t="s">
        <v>9</v>
      </c>
      <c r="K16" t="s">
        <v>47</v>
      </c>
      <c r="M16" t="s">
        <v>117</v>
      </c>
      <c r="N16" s="2" t="s">
        <v>118</v>
      </c>
      <c r="O16" s="1" t="s">
        <v>50</v>
      </c>
      <c r="P16" s="3" t="s">
        <v>66</v>
      </c>
      <c r="Q16" s="3" t="s">
        <v>730</v>
      </c>
      <c r="R16" s="9" t="s">
        <v>53</v>
      </c>
      <c r="S16" s="9" t="s">
        <v>54</v>
      </c>
      <c r="T16" s="9" t="s">
        <v>54</v>
      </c>
      <c r="U16" s="9" t="s">
        <v>53</v>
      </c>
      <c r="V16" s="9" t="s">
        <v>53</v>
      </c>
      <c r="W16" s="9" t="s">
        <v>53</v>
      </c>
      <c r="X16" s="9" t="s">
        <v>53</v>
      </c>
      <c r="Y16" s="9" t="s">
        <v>53</v>
      </c>
      <c r="Z16" s="18" t="s">
        <v>54</v>
      </c>
      <c r="AA16" s="8" t="s">
        <v>55</v>
      </c>
      <c r="AB16">
        <f t="shared" si="0"/>
        <v>1</v>
      </c>
      <c r="AC16">
        <f t="shared" si="1"/>
        <v>3</v>
      </c>
      <c r="AD16">
        <f t="shared" si="2"/>
        <v>2</v>
      </c>
      <c r="AE16" t="s">
        <v>53</v>
      </c>
      <c r="AF16" t="s">
        <v>57</v>
      </c>
      <c r="AG16">
        <v>15</v>
      </c>
      <c r="AH16" t="s">
        <v>54</v>
      </c>
    </row>
    <row r="17" spans="1:34" x14ac:dyDescent="0.35">
      <c r="A17" t="s">
        <v>460</v>
      </c>
      <c r="B17" t="s">
        <v>461</v>
      </c>
      <c r="C17" s="17" t="s">
        <v>100</v>
      </c>
      <c r="D17">
        <v>2020</v>
      </c>
      <c r="E17" t="s">
        <v>219</v>
      </c>
      <c r="F17" t="s">
        <v>3</v>
      </c>
      <c r="K17" t="s">
        <v>47</v>
      </c>
      <c r="M17" t="s">
        <v>462</v>
      </c>
      <c r="N17" s="2" t="s">
        <v>463</v>
      </c>
      <c r="O17" s="1" t="s">
        <v>50</v>
      </c>
      <c r="P17" s="3" t="s">
        <v>464</v>
      </c>
      <c r="Q17" s="3" t="s">
        <v>731</v>
      </c>
      <c r="R17" s="9" t="s">
        <v>53</v>
      </c>
      <c r="S17" s="9" t="s">
        <v>53</v>
      </c>
      <c r="T17" s="9" t="s">
        <v>53</v>
      </c>
      <c r="U17" s="9" t="s">
        <v>53</v>
      </c>
      <c r="V17" s="9" t="s">
        <v>53</v>
      </c>
      <c r="W17" s="9" t="s">
        <v>53</v>
      </c>
      <c r="X17" s="9" t="s">
        <v>53</v>
      </c>
      <c r="Y17" s="9" t="s">
        <v>53</v>
      </c>
      <c r="Z17" s="18" t="s">
        <v>54</v>
      </c>
      <c r="AA17" s="8" t="s">
        <v>55</v>
      </c>
      <c r="AB17">
        <f t="shared" si="0"/>
        <v>3</v>
      </c>
      <c r="AC17">
        <f t="shared" si="1"/>
        <v>3</v>
      </c>
      <c r="AD17">
        <f t="shared" si="2"/>
        <v>2</v>
      </c>
      <c r="AE17" t="s">
        <v>53</v>
      </c>
      <c r="AF17" t="s">
        <v>57</v>
      </c>
      <c r="AH17" t="s">
        <v>54</v>
      </c>
    </row>
    <row r="18" spans="1:34" x14ac:dyDescent="0.35">
      <c r="A18" t="s">
        <v>494</v>
      </c>
      <c r="B18" t="s">
        <v>495</v>
      </c>
      <c r="C18" s="17" t="s">
        <v>496</v>
      </c>
      <c r="D18">
        <v>2020</v>
      </c>
      <c r="E18" t="s">
        <v>46</v>
      </c>
      <c r="F18" t="s">
        <v>14</v>
      </c>
      <c r="K18" t="s">
        <v>47</v>
      </c>
      <c r="M18" t="s">
        <v>497</v>
      </c>
      <c r="N18" s="2" t="s">
        <v>498</v>
      </c>
      <c r="O18" s="1" t="s">
        <v>50</v>
      </c>
      <c r="P18" s="3" t="s">
        <v>499</v>
      </c>
      <c r="Q18" s="3" t="s">
        <v>500</v>
      </c>
      <c r="R18" s="9" t="s">
        <v>53</v>
      </c>
      <c r="S18" s="9" t="s">
        <v>53</v>
      </c>
      <c r="T18" s="9" t="s">
        <v>54</v>
      </c>
      <c r="U18" s="9" t="s">
        <v>53</v>
      </c>
      <c r="V18" s="9" t="s">
        <v>53</v>
      </c>
      <c r="W18" s="9" t="s">
        <v>53</v>
      </c>
      <c r="X18" s="9" t="s">
        <v>53</v>
      </c>
      <c r="Y18" s="9" t="s">
        <v>53</v>
      </c>
      <c r="Z18" s="18" t="s">
        <v>54</v>
      </c>
      <c r="AA18" s="8" t="s">
        <v>55</v>
      </c>
      <c r="AB18">
        <f t="shared" si="0"/>
        <v>2</v>
      </c>
      <c r="AC18">
        <f t="shared" si="1"/>
        <v>3</v>
      </c>
      <c r="AD18">
        <f t="shared" si="2"/>
        <v>2</v>
      </c>
      <c r="AE18" t="s">
        <v>53</v>
      </c>
      <c r="AF18" t="s">
        <v>57</v>
      </c>
      <c r="AH18" t="s">
        <v>54</v>
      </c>
    </row>
    <row r="19" spans="1:34" x14ac:dyDescent="0.35">
      <c r="A19" t="s">
        <v>569</v>
      </c>
      <c r="B19" t="s">
        <v>570</v>
      </c>
      <c r="C19" s="17" t="s">
        <v>378</v>
      </c>
      <c r="D19">
        <v>2020</v>
      </c>
      <c r="E19" t="s">
        <v>122</v>
      </c>
      <c r="F19" t="s">
        <v>10</v>
      </c>
      <c r="K19" t="s">
        <v>47</v>
      </c>
      <c r="M19" t="s">
        <v>571</v>
      </c>
      <c r="N19" s="2" t="s">
        <v>572</v>
      </c>
      <c r="O19" s="1" t="s">
        <v>50</v>
      </c>
      <c r="P19" s="3" t="s">
        <v>413</v>
      </c>
      <c r="Q19" s="3" t="s">
        <v>732</v>
      </c>
      <c r="R19" s="9" t="s">
        <v>53</v>
      </c>
      <c r="S19" s="9" t="s">
        <v>53</v>
      </c>
      <c r="T19" s="9" t="s">
        <v>54</v>
      </c>
      <c r="U19" s="9" t="s">
        <v>53</v>
      </c>
      <c r="V19" s="9" t="s">
        <v>53</v>
      </c>
      <c r="W19" s="9" t="s">
        <v>53</v>
      </c>
      <c r="X19" s="9" t="s">
        <v>53</v>
      </c>
      <c r="Y19" s="9" t="s">
        <v>53</v>
      </c>
      <c r="Z19" s="18" t="s">
        <v>54</v>
      </c>
      <c r="AA19" s="8" t="s">
        <v>55</v>
      </c>
      <c r="AB19">
        <f t="shared" si="0"/>
        <v>2</v>
      </c>
      <c r="AC19">
        <f t="shared" si="1"/>
        <v>3</v>
      </c>
      <c r="AD19">
        <f t="shared" si="2"/>
        <v>2</v>
      </c>
      <c r="AE19" t="s">
        <v>53</v>
      </c>
      <c r="AF19" t="s">
        <v>57</v>
      </c>
      <c r="AH19" t="s">
        <v>54</v>
      </c>
    </row>
    <row r="20" spans="1:34" x14ac:dyDescent="0.35">
      <c r="A20" t="s">
        <v>626</v>
      </c>
      <c r="B20" t="s">
        <v>627</v>
      </c>
      <c r="C20" s="17" t="s">
        <v>66</v>
      </c>
      <c r="D20">
        <v>2020</v>
      </c>
      <c r="E20" t="s">
        <v>628</v>
      </c>
      <c r="F20" t="s">
        <v>18</v>
      </c>
      <c r="K20" t="s">
        <v>47</v>
      </c>
      <c r="M20" t="s">
        <v>629</v>
      </c>
      <c r="N20" s="2" t="s">
        <v>630</v>
      </c>
      <c r="O20" s="1" t="s">
        <v>50</v>
      </c>
      <c r="P20" s="3" t="s">
        <v>631</v>
      </c>
      <c r="Q20" s="3" t="s">
        <v>733</v>
      </c>
      <c r="R20" s="9" t="s">
        <v>53</v>
      </c>
      <c r="S20" s="9" t="s">
        <v>53</v>
      </c>
      <c r="T20" s="9" t="s">
        <v>54</v>
      </c>
      <c r="U20" s="9" t="s">
        <v>53</v>
      </c>
      <c r="V20" s="9" t="s">
        <v>53</v>
      </c>
      <c r="W20" s="9" t="s">
        <v>53</v>
      </c>
      <c r="X20" s="9" t="s">
        <v>53</v>
      </c>
      <c r="Y20" s="9" t="s">
        <v>53</v>
      </c>
      <c r="Z20" s="18" t="s">
        <v>54</v>
      </c>
      <c r="AA20" s="8" t="s">
        <v>55</v>
      </c>
      <c r="AB20">
        <f t="shared" si="0"/>
        <v>2</v>
      </c>
      <c r="AC20">
        <f t="shared" si="1"/>
        <v>3</v>
      </c>
      <c r="AD20">
        <f t="shared" si="2"/>
        <v>2</v>
      </c>
      <c r="AE20" t="s">
        <v>53</v>
      </c>
      <c r="AF20" t="s">
        <v>57</v>
      </c>
      <c r="AG20">
        <v>30</v>
      </c>
      <c r="AH20" t="s">
        <v>54</v>
      </c>
    </row>
    <row r="21" spans="1:34" x14ac:dyDescent="0.35">
      <c r="A21" s="19" t="s">
        <v>141</v>
      </c>
      <c r="B21" t="s">
        <v>142</v>
      </c>
      <c r="C21" s="17" t="s">
        <v>143</v>
      </c>
      <c r="D21">
        <v>2024</v>
      </c>
      <c r="E21" t="s">
        <v>135</v>
      </c>
      <c r="F21" t="s">
        <v>0</v>
      </c>
      <c r="G21" t="s">
        <v>4</v>
      </c>
      <c r="K21" t="s">
        <v>144</v>
      </c>
      <c r="M21" t="s">
        <v>145</v>
      </c>
      <c r="N21" t="s">
        <v>66</v>
      </c>
      <c r="O21" s="1" t="s">
        <v>146</v>
      </c>
      <c r="P21" s="20" t="s">
        <v>147</v>
      </c>
      <c r="Q21" s="3" t="s">
        <v>148</v>
      </c>
      <c r="R21" s="9" t="s">
        <v>53</v>
      </c>
      <c r="S21" s="10" t="s">
        <v>53</v>
      </c>
      <c r="T21" s="9" t="s">
        <v>54</v>
      </c>
      <c r="U21" s="9" t="s">
        <v>53</v>
      </c>
      <c r="V21" s="9" t="s">
        <v>53</v>
      </c>
      <c r="W21" s="9" t="s">
        <v>54</v>
      </c>
      <c r="X21" s="9" t="s">
        <v>53</v>
      </c>
      <c r="Y21" s="9" t="s">
        <v>53</v>
      </c>
      <c r="Z21" s="18" t="s">
        <v>53</v>
      </c>
      <c r="AA21" s="8" t="s">
        <v>82</v>
      </c>
      <c r="AB21">
        <f t="shared" si="0"/>
        <v>2</v>
      </c>
      <c r="AC21">
        <f t="shared" si="1"/>
        <v>2</v>
      </c>
      <c r="AD21">
        <f t="shared" si="2"/>
        <v>3</v>
      </c>
      <c r="AE21" t="s">
        <v>54</v>
      </c>
      <c r="AF21" t="s">
        <v>66</v>
      </c>
      <c r="AG21">
        <v>78</v>
      </c>
      <c r="AH21" t="s">
        <v>54</v>
      </c>
    </row>
    <row r="22" spans="1:34" x14ac:dyDescent="0.35">
      <c r="A22" t="s">
        <v>149</v>
      </c>
      <c r="B22" t="s">
        <v>150</v>
      </c>
      <c r="C22" s="17">
        <v>0.21</v>
      </c>
      <c r="D22">
        <v>2022</v>
      </c>
      <c r="E22" t="s">
        <v>67</v>
      </c>
      <c r="F22" t="s">
        <v>1</v>
      </c>
      <c r="K22" t="s">
        <v>60</v>
      </c>
      <c r="M22" t="s">
        <v>151</v>
      </c>
      <c r="N22" s="1" t="s">
        <v>152</v>
      </c>
      <c r="O22" s="1" t="s">
        <v>153</v>
      </c>
      <c r="P22" s="3" t="s">
        <v>66</v>
      </c>
      <c r="Q22" s="3" t="s">
        <v>734</v>
      </c>
      <c r="R22" s="9" t="s">
        <v>53</v>
      </c>
      <c r="S22" s="9" t="s">
        <v>54</v>
      </c>
      <c r="T22" s="9" t="s">
        <v>54</v>
      </c>
      <c r="U22" s="9" t="s">
        <v>56</v>
      </c>
      <c r="V22" s="9" t="s">
        <v>53</v>
      </c>
      <c r="W22" s="9" t="s">
        <v>53</v>
      </c>
      <c r="X22" s="9" t="s">
        <v>53</v>
      </c>
      <c r="Y22" s="9" t="s">
        <v>53</v>
      </c>
      <c r="Z22" s="18" t="s">
        <v>53</v>
      </c>
      <c r="AA22" s="8" t="s">
        <v>91</v>
      </c>
      <c r="AB22">
        <f t="shared" si="0"/>
        <v>1</v>
      </c>
      <c r="AC22">
        <f t="shared" si="1"/>
        <v>3</v>
      </c>
      <c r="AD22">
        <f t="shared" si="2"/>
        <v>3</v>
      </c>
      <c r="AE22" t="s">
        <v>54</v>
      </c>
      <c r="AF22" t="s">
        <v>66</v>
      </c>
      <c r="AH22" t="s">
        <v>54</v>
      </c>
    </row>
    <row r="23" spans="1:34" x14ac:dyDescent="0.35">
      <c r="A23" t="s">
        <v>72</v>
      </c>
      <c r="B23" t="s">
        <v>73</v>
      </c>
      <c r="C23" s="17">
        <v>0.2</v>
      </c>
      <c r="D23">
        <v>2021</v>
      </c>
      <c r="F23" t="s">
        <v>19</v>
      </c>
      <c r="K23" t="s">
        <v>66</v>
      </c>
      <c r="M23" t="s">
        <v>74</v>
      </c>
      <c r="N23" s="4" t="s">
        <v>75</v>
      </c>
      <c r="O23" s="4" t="s">
        <v>76</v>
      </c>
      <c r="P23" s="3" t="s">
        <v>120</v>
      </c>
      <c r="Q23" s="3" t="s">
        <v>735</v>
      </c>
      <c r="R23" s="9" t="s">
        <v>53</v>
      </c>
      <c r="S23" s="9" t="s">
        <v>53</v>
      </c>
      <c r="T23" s="9" t="s">
        <v>54</v>
      </c>
      <c r="U23" s="9" t="s">
        <v>53</v>
      </c>
      <c r="V23" s="9" t="s">
        <v>53</v>
      </c>
      <c r="W23" s="9" t="s">
        <v>53</v>
      </c>
      <c r="X23" s="9" t="s">
        <v>53</v>
      </c>
      <c r="Y23" s="9" t="s">
        <v>53</v>
      </c>
      <c r="Z23" s="9" t="s">
        <v>54</v>
      </c>
      <c r="AA23" s="8" t="s">
        <v>55</v>
      </c>
      <c r="AB23">
        <f t="shared" si="0"/>
        <v>2</v>
      </c>
      <c r="AC23">
        <f t="shared" si="1"/>
        <v>3</v>
      </c>
      <c r="AD23">
        <f t="shared" si="2"/>
        <v>2</v>
      </c>
      <c r="AE23" t="s">
        <v>54</v>
      </c>
      <c r="AF23" t="s">
        <v>66</v>
      </c>
      <c r="AH23" t="s">
        <v>54</v>
      </c>
    </row>
    <row r="24" spans="1:34" x14ac:dyDescent="0.35">
      <c r="A24" t="s">
        <v>77</v>
      </c>
      <c r="B24" t="s">
        <v>78</v>
      </c>
      <c r="C24" s="17" t="s">
        <v>66</v>
      </c>
      <c r="D24">
        <v>2021</v>
      </c>
      <c r="E24" t="s">
        <v>2</v>
      </c>
      <c r="F24" t="s">
        <v>2</v>
      </c>
      <c r="K24" t="s">
        <v>66</v>
      </c>
      <c r="L24" t="s">
        <v>79</v>
      </c>
      <c r="M24" t="s">
        <v>80</v>
      </c>
      <c r="N24" t="s">
        <v>66</v>
      </c>
      <c r="O24" s="1" t="s">
        <v>81</v>
      </c>
      <c r="P24" s="3" t="s">
        <v>66</v>
      </c>
      <c r="Q24" s="3" t="s">
        <v>66</v>
      </c>
      <c r="R24" s="9" t="s">
        <v>54</v>
      </c>
      <c r="S24" s="9" t="s">
        <v>54</v>
      </c>
      <c r="T24" s="9" t="s">
        <v>54</v>
      </c>
      <c r="U24" s="9" t="s">
        <v>53</v>
      </c>
      <c r="V24" s="9" t="s">
        <v>53</v>
      </c>
      <c r="W24" s="13" t="s">
        <v>54</v>
      </c>
      <c r="X24" s="9" t="s">
        <v>53</v>
      </c>
      <c r="Y24" s="9" t="s">
        <v>54</v>
      </c>
      <c r="Z24" s="18" t="s">
        <v>54</v>
      </c>
      <c r="AA24" s="8" t="s">
        <v>82</v>
      </c>
      <c r="AB24">
        <f t="shared" si="0"/>
        <v>0</v>
      </c>
      <c r="AC24">
        <f t="shared" si="1"/>
        <v>2</v>
      </c>
      <c r="AD24">
        <f t="shared" si="2"/>
        <v>1</v>
      </c>
      <c r="AE24" t="s">
        <v>54</v>
      </c>
      <c r="AF24" t="s">
        <v>66</v>
      </c>
      <c r="AH24" t="s">
        <v>54</v>
      </c>
    </row>
    <row r="25" spans="1:34" x14ac:dyDescent="0.35">
      <c r="A25" t="s">
        <v>98</v>
      </c>
      <c r="B25" t="s">
        <v>99</v>
      </c>
      <c r="C25" s="17" t="s">
        <v>100</v>
      </c>
      <c r="D25">
        <v>2018</v>
      </c>
      <c r="E25" t="s">
        <v>101</v>
      </c>
      <c r="F25" t="s">
        <v>0</v>
      </c>
      <c r="K25" t="s">
        <v>60</v>
      </c>
      <c r="M25" t="s">
        <v>102</v>
      </c>
      <c r="N25" s="1" t="s">
        <v>103</v>
      </c>
      <c r="O25" s="1" t="s">
        <v>103</v>
      </c>
      <c r="P25" s="21" t="s">
        <v>643</v>
      </c>
      <c r="Q25" s="3" t="s">
        <v>736</v>
      </c>
      <c r="R25" s="9" t="s">
        <v>53</v>
      </c>
      <c r="S25" s="9" t="s">
        <v>53</v>
      </c>
      <c r="T25" s="9" t="s">
        <v>54</v>
      </c>
      <c r="U25" s="9" t="s">
        <v>53</v>
      </c>
      <c r="V25" s="9" t="s">
        <v>53</v>
      </c>
      <c r="W25" s="9" t="s">
        <v>53</v>
      </c>
      <c r="X25" s="9" t="s">
        <v>53</v>
      </c>
      <c r="Y25" s="9" t="s">
        <v>53</v>
      </c>
      <c r="Z25" s="18" t="s">
        <v>53</v>
      </c>
      <c r="AA25" s="8" t="s">
        <v>71</v>
      </c>
      <c r="AB25">
        <f t="shared" si="0"/>
        <v>2</v>
      </c>
      <c r="AC25">
        <f t="shared" si="1"/>
        <v>3</v>
      </c>
      <c r="AD25">
        <f t="shared" si="2"/>
        <v>3</v>
      </c>
      <c r="AE25" t="s">
        <v>54</v>
      </c>
      <c r="AF25" t="s">
        <v>66</v>
      </c>
      <c r="AH25" t="s">
        <v>54</v>
      </c>
    </row>
    <row r="26" spans="1:34" x14ac:dyDescent="0.35">
      <c r="A26" t="s">
        <v>652</v>
      </c>
      <c r="B26" t="s">
        <v>653</v>
      </c>
      <c r="D26">
        <v>2023</v>
      </c>
      <c r="F26" t="s">
        <v>6</v>
      </c>
      <c r="K26" t="s">
        <v>66</v>
      </c>
      <c r="M26" t="s">
        <v>654</v>
      </c>
      <c r="N26" t="s">
        <v>66</v>
      </c>
      <c r="O26" s="1" t="s">
        <v>655</v>
      </c>
      <c r="P26" s="3" t="s">
        <v>656</v>
      </c>
      <c r="Q26" s="20" t="s">
        <v>657</v>
      </c>
      <c r="R26" s="9" t="s">
        <v>53</v>
      </c>
      <c r="S26" s="9" t="s">
        <v>53</v>
      </c>
      <c r="T26" s="9" t="s">
        <v>53</v>
      </c>
      <c r="U26" s="9" t="s">
        <v>53</v>
      </c>
      <c r="V26" s="9" t="s">
        <v>54</v>
      </c>
      <c r="W26" s="9" t="s">
        <v>54</v>
      </c>
      <c r="X26" s="9" t="s">
        <v>53</v>
      </c>
      <c r="Y26" s="9" t="s">
        <v>54</v>
      </c>
      <c r="Z26" s="18" t="s">
        <v>54</v>
      </c>
      <c r="AA26" s="8"/>
      <c r="AB26">
        <f t="shared" si="0"/>
        <v>3</v>
      </c>
      <c r="AC26">
        <f t="shared" si="1"/>
        <v>1</v>
      </c>
      <c r="AD26">
        <f t="shared" si="2"/>
        <v>1</v>
      </c>
      <c r="AE26" t="s">
        <v>54</v>
      </c>
      <c r="AF26" t="s">
        <v>66</v>
      </c>
      <c r="AH26" t="s">
        <v>54</v>
      </c>
    </row>
    <row r="27" spans="1:34" x14ac:dyDescent="0.35">
      <c r="A27" t="s">
        <v>119</v>
      </c>
      <c r="B27" t="s">
        <v>120</v>
      </c>
      <c r="C27" s="17" t="s">
        <v>121</v>
      </c>
      <c r="D27">
        <v>2021</v>
      </c>
      <c r="E27" t="s">
        <v>122</v>
      </c>
      <c r="F27" t="s">
        <v>10</v>
      </c>
      <c r="G27" t="s">
        <v>4</v>
      </c>
      <c r="K27" t="s">
        <v>47</v>
      </c>
      <c r="M27" t="s">
        <v>123</v>
      </c>
      <c r="N27" s="4" t="s">
        <v>124</v>
      </c>
      <c r="O27" s="4" t="s">
        <v>124</v>
      </c>
      <c r="P27" s="3" t="s">
        <v>66</v>
      </c>
      <c r="Q27" s="3" t="s">
        <v>737</v>
      </c>
      <c r="R27" s="9" t="s">
        <v>53</v>
      </c>
      <c r="S27" s="9" t="s">
        <v>53</v>
      </c>
      <c r="T27" s="9" t="s">
        <v>54</v>
      </c>
      <c r="U27" s="9" t="s">
        <v>53</v>
      </c>
      <c r="V27" s="9" t="s">
        <v>53</v>
      </c>
      <c r="W27" s="9" t="s">
        <v>53</v>
      </c>
      <c r="X27" s="9" t="s">
        <v>53</v>
      </c>
      <c r="Y27" s="9" t="s">
        <v>53</v>
      </c>
      <c r="Z27" s="9" t="s">
        <v>53</v>
      </c>
      <c r="AA27" s="8" t="s">
        <v>97</v>
      </c>
      <c r="AB27">
        <f t="shared" si="0"/>
        <v>2</v>
      </c>
      <c r="AC27">
        <f t="shared" si="1"/>
        <v>3</v>
      </c>
      <c r="AD27">
        <f t="shared" si="2"/>
        <v>3</v>
      </c>
      <c r="AE27" t="s">
        <v>54</v>
      </c>
      <c r="AF27" t="s">
        <v>66</v>
      </c>
      <c r="AH27" t="s">
        <v>54</v>
      </c>
    </row>
    <row r="28" spans="1:34" x14ac:dyDescent="0.35">
      <c r="A28" t="s">
        <v>133</v>
      </c>
      <c r="B28" t="s">
        <v>134</v>
      </c>
      <c r="C28" s="17">
        <v>1.2</v>
      </c>
      <c r="D28">
        <v>2019</v>
      </c>
      <c r="E28" t="s">
        <v>135</v>
      </c>
      <c r="F28" t="s">
        <v>0</v>
      </c>
      <c r="K28" t="s">
        <v>47</v>
      </c>
      <c r="M28" t="s">
        <v>136</v>
      </c>
      <c r="N28" s="1" t="s">
        <v>137</v>
      </c>
      <c r="O28" s="1" t="s">
        <v>138</v>
      </c>
      <c r="P28" s="3" t="s">
        <v>139</v>
      </c>
      <c r="Q28" s="3" t="s">
        <v>140</v>
      </c>
      <c r="R28" s="9" t="s">
        <v>53</v>
      </c>
      <c r="S28" s="9" t="s">
        <v>53</v>
      </c>
      <c r="T28" s="9" t="s">
        <v>53</v>
      </c>
      <c r="U28" s="9" t="s">
        <v>53</v>
      </c>
      <c r="V28" s="9" t="s">
        <v>53</v>
      </c>
      <c r="W28" s="9" t="s">
        <v>53</v>
      </c>
      <c r="X28" s="9" t="s">
        <v>53</v>
      </c>
      <c r="Y28" s="9" t="s">
        <v>54</v>
      </c>
      <c r="Z28" s="18" t="s">
        <v>53</v>
      </c>
      <c r="AA28" s="8" t="s">
        <v>91</v>
      </c>
      <c r="AB28">
        <f t="shared" si="0"/>
        <v>3</v>
      </c>
      <c r="AC28">
        <f t="shared" si="1"/>
        <v>3</v>
      </c>
      <c r="AD28">
        <f t="shared" si="2"/>
        <v>2</v>
      </c>
      <c r="AE28" t="s">
        <v>54</v>
      </c>
      <c r="AF28" t="s">
        <v>66</v>
      </c>
      <c r="AH28" t="s">
        <v>54</v>
      </c>
    </row>
    <row r="29" spans="1:34" x14ac:dyDescent="0.35">
      <c r="A29" t="s">
        <v>125</v>
      </c>
      <c r="B29" t="s">
        <v>126</v>
      </c>
      <c r="C29" s="17" t="s">
        <v>127</v>
      </c>
      <c r="D29">
        <v>2021</v>
      </c>
      <c r="E29" t="s">
        <v>101</v>
      </c>
      <c r="F29" t="s">
        <v>0</v>
      </c>
      <c r="K29" t="s">
        <v>128</v>
      </c>
      <c r="L29" t="s">
        <v>129</v>
      </c>
      <c r="M29" t="s">
        <v>130</v>
      </c>
      <c r="N29" s="4" t="s">
        <v>131</v>
      </c>
      <c r="O29" s="4" t="s">
        <v>132</v>
      </c>
      <c r="P29" s="3" t="s">
        <v>66</v>
      </c>
      <c r="Q29" s="3" t="s">
        <v>738</v>
      </c>
      <c r="R29" s="9" t="s">
        <v>53</v>
      </c>
      <c r="S29" s="9" t="s">
        <v>54</v>
      </c>
      <c r="T29" s="9" t="s">
        <v>54</v>
      </c>
      <c r="U29" s="9" t="s">
        <v>53</v>
      </c>
      <c r="V29" s="9" t="s">
        <v>53</v>
      </c>
      <c r="W29" s="9" t="s">
        <v>53</v>
      </c>
      <c r="X29" s="9" t="s">
        <v>53</v>
      </c>
      <c r="Y29" s="9" t="s">
        <v>53</v>
      </c>
      <c r="Z29" s="9" t="s">
        <v>53</v>
      </c>
      <c r="AA29" s="8" t="s">
        <v>71</v>
      </c>
      <c r="AB29">
        <f t="shared" si="0"/>
        <v>1</v>
      </c>
      <c r="AC29">
        <f t="shared" si="1"/>
        <v>3</v>
      </c>
      <c r="AD29">
        <f t="shared" si="2"/>
        <v>3</v>
      </c>
      <c r="AE29" t="s">
        <v>54</v>
      </c>
      <c r="AF29" t="s">
        <v>66</v>
      </c>
      <c r="AH29" t="s">
        <v>54</v>
      </c>
    </row>
    <row r="30" spans="1:34" x14ac:dyDescent="0.35">
      <c r="A30" t="s">
        <v>720</v>
      </c>
      <c r="B30" s="6" t="s">
        <v>721</v>
      </c>
      <c r="C30" s="17">
        <v>1.1200000000000001</v>
      </c>
      <c r="D30">
        <v>2013</v>
      </c>
      <c r="F30" t="s">
        <v>0</v>
      </c>
      <c r="K30" t="s">
        <v>66</v>
      </c>
      <c r="M30" t="s">
        <v>722</v>
      </c>
      <c r="O30" s="1" t="s">
        <v>604</v>
      </c>
      <c r="Q30" s="3" t="s">
        <v>66</v>
      </c>
      <c r="R30" s="9" t="s">
        <v>54</v>
      </c>
      <c r="S30" s="9" t="s">
        <v>54</v>
      </c>
      <c r="T30" s="9" t="s">
        <v>54</v>
      </c>
      <c r="U30" s="9" t="s">
        <v>54</v>
      </c>
      <c r="V30" s="9" t="s">
        <v>53</v>
      </c>
      <c r="W30" s="9" t="s">
        <v>54</v>
      </c>
      <c r="X30" s="9" t="s">
        <v>54</v>
      </c>
      <c r="Y30" s="9" t="s">
        <v>54</v>
      </c>
      <c r="Z30" s="18" t="s">
        <v>53</v>
      </c>
      <c r="AA30" s="8"/>
      <c r="AB30">
        <f t="shared" si="0"/>
        <v>0</v>
      </c>
      <c r="AC30">
        <f t="shared" si="1"/>
        <v>1</v>
      </c>
      <c r="AD30">
        <f t="shared" si="2"/>
        <v>1</v>
      </c>
      <c r="AE30" t="s">
        <v>54</v>
      </c>
      <c r="AF30" t="s">
        <v>66</v>
      </c>
      <c r="AH30" t="s">
        <v>54</v>
      </c>
    </row>
    <row r="31" spans="1:34" x14ac:dyDescent="0.35">
      <c r="A31" t="s">
        <v>316</v>
      </c>
      <c r="B31" t="s">
        <v>317</v>
      </c>
      <c r="C31" s="17" t="s">
        <v>318</v>
      </c>
      <c r="D31">
        <v>2019</v>
      </c>
      <c r="E31" t="s">
        <v>219</v>
      </c>
      <c r="F31" t="s">
        <v>10</v>
      </c>
      <c r="G31" t="s">
        <v>319</v>
      </c>
      <c r="K31" t="s">
        <v>47</v>
      </c>
      <c r="M31" t="s">
        <v>320</v>
      </c>
      <c r="N31" s="1" t="s">
        <v>321</v>
      </c>
      <c r="O31" s="1" t="s">
        <v>321</v>
      </c>
      <c r="P31" s="3" t="s">
        <v>322</v>
      </c>
      <c r="Q31" s="3" t="s">
        <v>739</v>
      </c>
      <c r="R31" s="9" t="s">
        <v>53</v>
      </c>
      <c r="S31" s="9" t="s">
        <v>53</v>
      </c>
      <c r="T31" s="9" t="s">
        <v>53</v>
      </c>
      <c r="U31" s="9" t="s">
        <v>53</v>
      </c>
      <c r="V31" s="9" t="s">
        <v>53</v>
      </c>
      <c r="W31" s="9" t="s">
        <v>53</v>
      </c>
      <c r="X31" s="9" t="s">
        <v>53</v>
      </c>
      <c r="Y31" s="9" t="s">
        <v>53</v>
      </c>
      <c r="Z31" s="18" t="s">
        <v>54</v>
      </c>
      <c r="AA31" s="8" t="s">
        <v>71</v>
      </c>
      <c r="AB31">
        <f t="shared" si="0"/>
        <v>3</v>
      </c>
      <c r="AC31">
        <f t="shared" si="1"/>
        <v>3</v>
      </c>
      <c r="AD31">
        <f t="shared" si="2"/>
        <v>2</v>
      </c>
      <c r="AE31" t="s">
        <v>54</v>
      </c>
      <c r="AF31" t="s">
        <v>66</v>
      </c>
      <c r="AH31" t="s">
        <v>54</v>
      </c>
    </row>
    <row r="32" spans="1:34" x14ac:dyDescent="0.35">
      <c r="A32" t="s">
        <v>174</v>
      </c>
      <c r="B32" t="s">
        <v>175</v>
      </c>
      <c r="C32" s="17" t="s">
        <v>66</v>
      </c>
      <c r="D32">
        <v>2019</v>
      </c>
      <c r="E32" t="s">
        <v>2</v>
      </c>
      <c r="F32" t="s">
        <v>2</v>
      </c>
      <c r="G32" t="s">
        <v>11</v>
      </c>
      <c r="I32" t="s">
        <v>163</v>
      </c>
      <c r="K32" t="s">
        <v>66</v>
      </c>
      <c r="M32" t="s">
        <v>176</v>
      </c>
      <c r="N32" t="s">
        <v>66</v>
      </c>
      <c r="O32" s="1" t="s">
        <v>165</v>
      </c>
      <c r="P32" s="3" t="s">
        <v>66</v>
      </c>
      <c r="Q32" s="3" t="s">
        <v>166</v>
      </c>
      <c r="R32" s="9" t="s">
        <v>53</v>
      </c>
      <c r="S32" s="9" t="s">
        <v>54</v>
      </c>
      <c r="T32" s="9" t="s">
        <v>54</v>
      </c>
      <c r="U32" s="9" t="s">
        <v>53</v>
      </c>
      <c r="V32" s="9" t="s">
        <v>54</v>
      </c>
      <c r="W32" s="9" t="s">
        <v>54</v>
      </c>
      <c r="X32" s="9" t="s">
        <v>53</v>
      </c>
      <c r="Y32" s="9" t="s">
        <v>54</v>
      </c>
      <c r="Z32" s="18" t="s">
        <v>54</v>
      </c>
      <c r="AA32" s="8" t="s">
        <v>82</v>
      </c>
      <c r="AB32">
        <f t="shared" si="0"/>
        <v>1</v>
      </c>
      <c r="AC32">
        <f t="shared" si="1"/>
        <v>1</v>
      </c>
      <c r="AD32">
        <f t="shared" si="2"/>
        <v>1</v>
      </c>
      <c r="AE32" t="s">
        <v>54</v>
      </c>
      <c r="AF32" t="s">
        <v>66</v>
      </c>
      <c r="AH32" t="s">
        <v>54</v>
      </c>
    </row>
    <row r="33" spans="1:34" x14ac:dyDescent="0.35">
      <c r="A33" t="s">
        <v>161</v>
      </c>
      <c r="B33" t="s">
        <v>162</v>
      </c>
      <c r="C33" s="17" t="s">
        <v>66</v>
      </c>
      <c r="D33">
        <v>2019</v>
      </c>
      <c r="E33" t="s">
        <v>2</v>
      </c>
      <c r="F33" t="s">
        <v>2</v>
      </c>
      <c r="G33" t="s">
        <v>11</v>
      </c>
      <c r="I33" t="s">
        <v>163</v>
      </c>
      <c r="K33" t="s">
        <v>66</v>
      </c>
      <c r="M33" t="s">
        <v>164</v>
      </c>
      <c r="N33" t="s">
        <v>66</v>
      </c>
      <c r="O33" s="1" t="s">
        <v>165</v>
      </c>
      <c r="P33" s="3" t="s">
        <v>66</v>
      </c>
      <c r="Q33" s="3" t="s">
        <v>166</v>
      </c>
      <c r="R33" s="9" t="s">
        <v>53</v>
      </c>
      <c r="S33" s="9" t="s">
        <v>54</v>
      </c>
      <c r="T33" s="9" t="s">
        <v>54</v>
      </c>
      <c r="U33" s="9" t="s">
        <v>53</v>
      </c>
      <c r="V33" s="9" t="s">
        <v>54</v>
      </c>
      <c r="W33" s="9" t="s">
        <v>54</v>
      </c>
      <c r="X33" s="9" t="s">
        <v>53</v>
      </c>
      <c r="Y33" s="9" t="s">
        <v>54</v>
      </c>
      <c r="Z33" s="18" t="s">
        <v>54</v>
      </c>
      <c r="AA33" s="8" t="s">
        <v>82</v>
      </c>
      <c r="AB33">
        <f t="shared" si="0"/>
        <v>1</v>
      </c>
      <c r="AC33">
        <f t="shared" si="1"/>
        <v>1</v>
      </c>
      <c r="AD33">
        <f t="shared" si="2"/>
        <v>1</v>
      </c>
      <c r="AE33" t="s">
        <v>54</v>
      </c>
      <c r="AF33" t="s">
        <v>66</v>
      </c>
      <c r="AH33" t="s">
        <v>54</v>
      </c>
    </row>
    <row r="34" spans="1:34" x14ac:dyDescent="0.35">
      <c r="A34" t="s">
        <v>450</v>
      </c>
      <c r="B34" t="s">
        <v>451</v>
      </c>
      <c r="C34" s="17" t="s">
        <v>452</v>
      </c>
      <c r="D34">
        <v>2020</v>
      </c>
      <c r="E34" t="s">
        <v>453</v>
      </c>
      <c r="F34" t="s">
        <v>7</v>
      </c>
      <c r="K34" t="s">
        <v>66</v>
      </c>
      <c r="M34" t="s">
        <v>454</v>
      </c>
      <c r="N34" t="s">
        <v>66</v>
      </c>
      <c r="O34" s="1" t="s">
        <v>455</v>
      </c>
      <c r="P34" s="3" t="s">
        <v>66</v>
      </c>
      <c r="Q34" s="3" t="s">
        <v>66</v>
      </c>
      <c r="R34" s="9" t="s">
        <v>54</v>
      </c>
      <c r="S34" s="9" t="s">
        <v>54</v>
      </c>
      <c r="T34" s="9" t="s">
        <v>54</v>
      </c>
      <c r="U34" s="9" t="s">
        <v>53</v>
      </c>
      <c r="V34" s="9" t="s">
        <v>54</v>
      </c>
      <c r="W34" s="9" t="s">
        <v>54</v>
      </c>
      <c r="X34" s="9" t="s">
        <v>54</v>
      </c>
      <c r="Y34" s="9" t="s">
        <v>54</v>
      </c>
      <c r="Z34" s="18" t="s">
        <v>53</v>
      </c>
      <c r="AA34" s="8" t="s">
        <v>91</v>
      </c>
      <c r="AB34">
        <f t="shared" ref="AB34:AB65" si="3">COUNTIF(R34:T34, "yes")</f>
        <v>0</v>
      </c>
      <c r="AC34">
        <f t="shared" ref="AC34:AC65" si="4">COUNTIF(U34:W34, "yes")</f>
        <v>1</v>
      </c>
      <c r="AD34">
        <f t="shared" ref="AD34:AD65" si="5">COUNTIF(X34:Z34, "yes")</f>
        <v>1</v>
      </c>
      <c r="AE34" t="s">
        <v>54</v>
      </c>
      <c r="AF34" t="s">
        <v>66</v>
      </c>
      <c r="AH34" t="s">
        <v>54</v>
      </c>
    </row>
    <row r="35" spans="1:34" x14ac:dyDescent="0.35">
      <c r="A35" t="s">
        <v>329</v>
      </c>
      <c r="B35" t="s">
        <v>330</v>
      </c>
      <c r="C35" s="17" t="s">
        <v>331</v>
      </c>
      <c r="D35">
        <v>2022</v>
      </c>
      <c r="E35" t="s">
        <v>101</v>
      </c>
      <c r="F35" t="s">
        <v>0</v>
      </c>
      <c r="K35" t="s">
        <v>47</v>
      </c>
      <c r="M35" t="s">
        <v>332</v>
      </c>
      <c r="N35" s="2" t="s">
        <v>333</v>
      </c>
      <c r="O35" s="1" t="s">
        <v>334</v>
      </c>
      <c r="P35" s="3" t="s">
        <v>335</v>
      </c>
      <c r="Q35" s="3" t="s">
        <v>740</v>
      </c>
      <c r="R35" s="9" t="s">
        <v>53</v>
      </c>
      <c r="S35" s="9" t="s">
        <v>53</v>
      </c>
      <c r="T35" s="9" t="s">
        <v>53</v>
      </c>
      <c r="U35" s="9" t="s">
        <v>53</v>
      </c>
      <c r="V35" s="9" t="s">
        <v>53</v>
      </c>
      <c r="W35" s="9" t="s">
        <v>53</v>
      </c>
      <c r="X35" s="9" t="s">
        <v>53</v>
      </c>
      <c r="Y35" s="9" t="s">
        <v>53</v>
      </c>
      <c r="Z35" s="18" t="s">
        <v>53</v>
      </c>
      <c r="AA35" s="8" t="s">
        <v>55</v>
      </c>
      <c r="AB35">
        <f t="shared" si="3"/>
        <v>3</v>
      </c>
      <c r="AC35">
        <f t="shared" si="4"/>
        <v>3</v>
      </c>
      <c r="AD35">
        <f t="shared" si="5"/>
        <v>3</v>
      </c>
      <c r="AE35" t="s">
        <v>53</v>
      </c>
      <c r="AF35" t="s">
        <v>173</v>
      </c>
      <c r="AH35" t="s">
        <v>54</v>
      </c>
    </row>
    <row r="36" spans="1:34" x14ac:dyDescent="0.35">
      <c r="A36" t="s">
        <v>386</v>
      </c>
      <c r="B36" t="s">
        <v>387</v>
      </c>
      <c r="C36" s="17" t="s">
        <v>388</v>
      </c>
      <c r="D36">
        <v>2022</v>
      </c>
      <c r="E36" t="s">
        <v>122</v>
      </c>
      <c r="F36" t="s">
        <v>10</v>
      </c>
      <c r="K36" t="s">
        <v>47</v>
      </c>
      <c r="M36" t="s">
        <v>389</v>
      </c>
      <c r="N36" s="2" t="s">
        <v>390</v>
      </c>
      <c r="O36" s="1" t="s">
        <v>390</v>
      </c>
      <c r="P36" s="3" t="s">
        <v>391</v>
      </c>
      <c r="Q36" s="3" t="s">
        <v>741</v>
      </c>
      <c r="R36" s="9" t="s">
        <v>53</v>
      </c>
      <c r="S36" s="9" t="s">
        <v>53</v>
      </c>
      <c r="T36" s="9" t="s">
        <v>54</v>
      </c>
      <c r="U36" s="9" t="s">
        <v>53</v>
      </c>
      <c r="V36" s="9" t="s">
        <v>53</v>
      </c>
      <c r="W36" s="9" t="s">
        <v>53</v>
      </c>
      <c r="X36" s="9" t="s">
        <v>53</v>
      </c>
      <c r="Y36" s="9" t="s">
        <v>53</v>
      </c>
      <c r="Z36" s="18" t="s">
        <v>53</v>
      </c>
      <c r="AA36" s="8" t="s">
        <v>55</v>
      </c>
      <c r="AB36">
        <f t="shared" si="3"/>
        <v>2</v>
      </c>
      <c r="AC36">
        <f t="shared" si="4"/>
        <v>3</v>
      </c>
      <c r="AD36">
        <f t="shared" si="5"/>
        <v>3</v>
      </c>
      <c r="AE36" t="s">
        <v>53</v>
      </c>
      <c r="AF36" t="s">
        <v>173</v>
      </c>
      <c r="AH36" t="s">
        <v>54</v>
      </c>
    </row>
    <row r="37" spans="1:34" x14ac:dyDescent="0.35">
      <c r="A37" t="s">
        <v>470</v>
      </c>
      <c r="B37" t="s">
        <v>471</v>
      </c>
      <c r="C37" s="17" t="s">
        <v>472</v>
      </c>
      <c r="D37">
        <v>2022</v>
      </c>
      <c r="E37" t="s">
        <v>473</v>
      </c>
      <c r="F37" t="s">
        <v>14</v>
      </c>
      <c r="K37" t="s">
        <v>47</v>
      </c>
      <c r="M37" t="s">
        <v>474</v>
      </c>
      <c r="N37" s="2" t="s">
        <v>475</v>
      </c>
      <c r="O37" s="1" t="s">
        <v>475</v>
      </c>
      <c r="P37" s="3" t="s">
        <v>476</v>
      </c>
      <c r="Q37" s="3" t="s">
        <v>742</v>
      </c>
      <c r="R37" s="9" t="s">
        <v>53</v>
      </c>
      <c r="S37" s="9" t="s">
        <v>53</v>
      </c>
      <c r="T37" s="9" t="s">
        <v>54</v>
      </c>
      <c r="U37" s="9" t="s">
        <v>53</v>
      </c>
      <c r="V37" s="9" t="s">
        <v>53</v>
      </c>
      <c r="W37" s="9" t="s">
        <v>53</v>
      </c>
      <c r="X37" s="9" t="s">
        <v>53</v>
      </c>
      <c r="Y37" s="9" t="s">
        <v>53</v>
      </c>
      <c r="Z37" s="18" t="s">
        <v>53</v>
      </c>
      <c r="AA37" s="8" t="s">
        <v>55</v>
      </c>
      <c r="AB37">
        <f t="shared" si="3"/>
        <v>2</v>
      </c>
      <c r="AC37">
        <f t="shared" si="4"/>
        <v>3</v>
      </c>
      <c r="AD37">
        <f t="shared" si="5"/>
        <v>3</v>
      </c>
      <c r="AE37" t="s">
        <v>53</v>
      </c>
      <c r="AF37" t="s">
        <v>173</v>
      </c>
      <c r="AH37" t="s">
        <v>54</v>
      </c>
    </row>
    <row r="38" spans="1:34" x14ac:dyDescent="0.35">
      <c r="A38" t="s">
        <v>477</v>
      </c>
      <c r="B38" t="s">
        <v>478</v>
      </c>
      <c r="C38" s="17" t="s">
        <v>479</v>
      </c>
      <c r="D38">
        <v>2022</v>
      </c>
      <c r="E38" t="s">
        <v>15</v>
      </c>
      <c r="F38" t="s">
        <v>15</v>
      </c>
      <c r="K38" t="s">
        <v>47</v>
      </c>
      <c r="M38" t="s">
        <v>480</v>
      </c>
      <c r="N38" s="2" t="s">
        <v>481</v>
      </c>
      <c r="O38" s="1" t="s">
        <v>481</v>
      </c>
      <c r="P38" s="3" t="s">
        <v>482</v>
      </c>
      <c r="Q38" s="3" t="s">
        <v>743</v>
      </c>
      <c r="R38" s="9" t="s">
        <v>53</v>
      </c>
      <c r="S38" s="9" t="s">
        <v>53</v>
      </c>
      <c r="T38" s="9" t="s">
        <v>54</v>
      </c>
      <c r="U38" s="9" t="s">
        <v>53</v>
      </c>
      <c r="V38" s="9" t="s">
        <v>53</v>
      </c>
      <c r="W38" s="9" t="s">
        <v>53</v>
      </c>
      <c r="X38" s="9" t="s">
        <v>53</v>
      </c>
      <c r="Y38" s="9" t="s">
        <v>53</v>
      </c>
      <c r="Z38" s="18" t="s">
        <v>54</v>
      </c>
      <c r="AA38" s="8" t="s">
        <v>55</v>
      </c>
      <c r="AB38">
        <f t="shared" si="3"/>
        <v>2</v>
      </c>
      <c r="AC38">
        <f t="shared" si="4"/>
        <v>3</v>
      </c>
      <c r="AD38">
        <f t="shared" si="5"/>
        <v>2</v>
      </c>
      <c r="AE38" t="s">
        <v>53</v>
      </c>
      <c r="AF38" t="s">
        <v>173</v>
      </c>
      <c r="AH38" t="s">
        <v>54</v>
      </c>
    </row>
    <row r="39" spans="1:34" x14ac:dyDescent="0.35">
      <c r="A39" t="s">
        <v>501</v>
      </c>
      <c r="B39" t="s">
        <v>502</v>
      </c>
      <c r="C39" s="17" t="s">
        <v>503</v>
      </c>
      <c r="D39">
        <v>2022</v>
      </c>
      <c r="E39" t="s">
        <v>473</v>
      </c>
      <c r="F39" t="s">
        <v>16</v>
      </c>
      <c r="K39" t="s">
        <v>47</v>
      </c>
      <c r="M39" t="s">
        <v>504</v>
      </c>
      <c r="N39" s="2" t="s">
        <v>505</v>
      </c>
      <c r="O39" s="1" t="s">
        <v>505</v>
      </c>
      <c r="P39" s="3" t="s">
        <v>506</v>
      </c>
      <c r="Q39" s="3" t="s">
        <v>857</v>
      </c>
      <c r="R39" s="9" t="s">
        <v>53</v>
      </c>
      <c r="S39" s="9" t="s">
        <v>53</v>
      </c>
      <c r="T39" s="9" t="s">
        <v>54</v>
      </c>
      <c r="U39" s="9" t="s">
        <v>53</v>
      </c>
      <c r="V39" s="9" t="s">
        <v>53</v>
      </c>
      <c r="W39" s="9" t="s">
        <v>53</v>
      </c>
      <c r="X39" s="9" t="s">
        <v>53</v>
      </c>
      <c r="Y39" s="9" t="s">
        <v>53</v>
      </c>
      <c r="Z39" s="18" t="s">
        <v>53</v>
      </c>
      <c r="AA39" s="8" t="s">
        <v>55</v>
      </c>
      <c r="AB39">
        <f t="shared" si="3"/>
        <v>2</v>
      </c>
      <c r="AC39">
        <f t="shared" si="4"/>
        <v>3</v>
      </c>
      <c r="AD39">
        <f t="shared" si="5"/>
        <v>3</v>
      </c>
      <c r="AE39" t="s">
        <v>53</v>
      </c>
      <c r="AF39" t="s">
        <v>173</v>
      </c>
      <c r="AH39" t="s">
        <v>54</v>
      </c>
    </row>
    <row r="40" spans="1:34" x14ac:dyDescent="0.35">
      <c r="A40" t="s">
        <v>538</v>
      </c>
      <c r="B40" t="s">
        <v>539</v>
      </c>
      <c r="C40" s="17" t="s">
        <v>540</v>
      </c>
      <c r="D40">
        <v>2022</v>
      </c>
      <c r="E40" t="s">
        <v>17</v>
      </c>
      <c r="F40" t="s">
        <v>17</v>
      </c>
      <c r="K40" t="s">
        <v>47</v>
      </c>
      <c r="M40" t="s">
        <v>541</v>
      </c>
      <c r="N40" s="2" t="s">
        <v>542</v>
      </c>
      <c r="O40" s="1" t="s">
        <v>542</v>
      </c>
      <c r="P40" s="3" t="s">
        <v>543</v>
      </c>
      <c r="Q40" s="3" t="s">
        <v>744</v>
      </c>
      <c r="R40" s="9" t="s">
        <v>53</v>
      </c>
      <c r="S40" s="9" t="s">
        <v>53</v>
      </c>
      <c r="T40" s="9" t="s">
        <v>54</v>
      </c>
      <c r="U40" s="9" t="s">
        <v>53</v>
      </c>
      <c r="V40" s="9" t="s">
        <v>53</v>
      </c>
      <c r="W40" s="9" t="s">
        <v>53</v>
      </c>
      <c r="X40" s="9" t="s">
        <v>53</v>
      </c>
      <c r="Y40" s="9" t="s">
        <v>53</v>
      </c>
      <c r="Z40" s="18" t="s">
        <v>54</v>
      </c>
      <c r="AA40" s="8" t="s">
        <v>55</v>
      </c>
      <c r="AB40">
        <f t="shared" si="3"/>
        <v>2</v>
      </c>
      <c r="AC40">
        <f t="shared" si="4"/>
        <v>3</v>
      </c>
      <c r="AD40">
        <f t="shared" si="5"/>
        <v>2</v>
      </c>
      <c r="AE40" t="s">
        <v>53</v>
      </c>
      <c r="AF40" t="s">
        <v>173</v>
      </c>
      <c r="AH40" t="s">
        <v>54</v>
      </c>
    </row>
    <row r="41" spans="1:34" x14ac:dyDescent="0.35">
      <c r="A41" t="s">
        <v>167</v>
      </c>
      <c r="B41" t="s">
        <v>168</v>
      </c>
      <c r="C41" s="17" t="s">
        <v>66</v>
      </c>
      <c r="D41">
        <v>2019</v>
      </c>
      <c r="E41" t="s">
        <v>169</v>
      </c>
      <c r="F41" t="s">
        <v>15</v>
      </c>
      <c r="G41" t="s">
        <v>17</v>
      </c>
      <c r="K41" t="s">
        <v>66</v>
      </c>
      <c r="M41" t="s">
        <v>170</v>
      </c>
      <c r="N41" t="s">
        <v>66</v>
      </c>
      <c r="O41" s="1" t="s">
        <v>171</v>
      </c>
      <c r="P41" s="3" t="s">
        <v>172</v>
      </c>
      <c r="Q41" s="3" t="s">
        <v>66</v>
      </c>
      <c r="R41" s="9" t="s">
        <v>54</v>
      </c>
      <c r="S41" s="9" t="s">
        <v>53</v>
      </c>
      <c r="T41" s="9" t="s">
        <v>54</v>
      </c>
      <c r="U41" s="9" t="s">
        <v>53</v>
      </c>
      <c r="V41" s="9" t="s">
        <v>54</v>
      </c>
      <c r="W41" s="9" t="s">
        <v>54</v>
      </c>
      <c r="X41" s="9" t="s">
        <v>53</v>
      </c>
      <c r="Y41" s="9" t="s">
        <v>54</v>
      </c>
      <c r="Z41" s="18" t="s">
        <v>54</v>
      </c>
      <c r="AA41" s="8" t="s">
        <v>97</v>
      </c>
      <c r="AB41">
        <f t="shared" si="3"/>
        <v>1</v>
      </c>
      <c r="AC41">
        <f t="shared" si="4"/>
        <v>1</v>
      </c>
      <c r="AD41">
        <f t="shared" si="5"/>
        <v>1</v>
      </c>
      <c r="AE41" t="s">
        <v>53</v>
      </c>
      <c r="AF41" t="s">
        <v>173</v>
      </c>
      <c r="AH41" t="s">
        <v>54</v>
      </c>
    </row>
    <row r="42" spans="1:34" x14ac:dyDescent="0.35">
      <c r="A42" t="s">
        <v>717</v>
      </c>
      <c r="B42" t="s">
        <v>708</v>
      </c>
      <c r="C42" s="17" t="s">
        <v>116</v>
      </c>
      <c r="D42">
        <v>2020</v>
      </c>
      <c r="F42" t="s">
        <v>9</v>
      </c>
      <c r="K42" t="s">
        <v>184</v>
      </c>
      <c r="M42" t="s">
        <v>709</v>
      </c>
      <c r="N42" s="1" t="s">
        <v>710</v>
      </c>
      <c r="P42" s="3" t="s">
        <v>711</v>
      </c>
      <c r="Q42" s="3" t="s">
        <v>745</v>
      </c>
      <c r="R42" s="9" t="s">
        <v>53</v>
      </c>
      <c r="S42" s="9" t="s">
        <v>53</v>
      </c>
      <c r="T42" s="9" t="s">
        <v>53</v>
      </c>
      <c r="U42" s="9" t="s">
        <v>53</v>
      </c>
      <c r="V42" s="9" t="s">
        <v>53</v>
      </c>
      <c r="W42" s="9" t="s">
        <v>53</v>
      </c>
      <c r="X42" s="9" t="s">
        <v>53</v>
      </c>
      <c r="Y42" s="9" t="s">
        <v>53</v>
      </c>
      <c r="Z42" s="18" t="s">
        <v>53</v>
      </c>
      <c r="AA42" s="8"/>
      <c r="AB42">
        <f t="shared" si="3"/>
        <v>3</v>
      </c>
      <c r="AC42">
        <f t="shared" si="4"/>
        <v>3</v>
      </c>
      <c r="AD42">
        <f t="shared" si="5"/>
        <v>3</v>
      </c>
      <c r="AE42" t="s">
        <v>54</v>
      </c>
      <c r="AF42" t="s">
        <v>66</v>
      </c>
      <c r="AH42" t="s">
        <v>54</v>
      </c>
    </row>
    <row r="43" spans="1:34" x14ac:dyDescent="0.35">
      <c r="A43" t="s">
        <v>808</v>
      </c>
      <c r="B43" t="s">
        <v>809</v>
      </c>
      <c r="C43" s="17">
        <v>0.2</v>
      </c>
      <c r="D43">
        <v>2024</v>
      </c>
      <c r="F43" t="s">
        <v>16</v>
      </c>
      <c r="K43" t="s">
        <v>47</v>
      </c>
      <c r="M43" t="s">
        <v>812</v>
      </c>
      <c r="N43" s="1" t="s">
        <v>810</v>
      </c>
      <c r="O43" s="1" t="s">
        <v>807</v>
      </c>
      <c r="P43" s="21" t="s">
        <v>817</v>
      </c>
      <c r="Q43" s="3" t="s">
        <v>811</v>
      </c>
      <c r="R43" s="9" t="s">
        <v>53</v>
      </c>
      <c r="S43" s="9" t="s">
        <v>53</v>
      </c>
      <c r="T43" s="9" t="s">
        <v>54</v>
      </c>
      <c r="U43" s="23" t="s">
        <v>53</v>
      </c>
      <c r="V43" s="9" t="s">
        <v>53</v>
      </c>
      <c r="W43" s="9" t="s">
        <v>53</v>
      </c>
      <c r="X43" s="9" t="s">
        <v>54</v>
      </c>
      <c r="Y43" s="9" t="s">
        <v>54</v>
      </c>
      <c r="Z43" s="18" t="s">
        <v>53</v>
      </c>
      <c r="AA43" s="8"/>
      <c r="AB43">
        <f t="shared" si="3"/>
        <v>2</v>
      </c>
      <c r="AC43">
        <f t="shared" si="4"/>
        <v>3</v>
      </c>
      <c r="AD43">
        <f t="shared" si="5"/>
        <v>1</v>
      </c>
      <c r="AE43" t="s">
        <v>53</v>
      </c>
      <c r="AF43" t="s">
        <v>815</v>
      </c>
    </row>
    <row r="44" spans="1:34" x14ac:dyDescent="0.35">
      <c r="A44" t="s">
        <v>718</v>
      </c>
      <c r="B44" t="s">
        <v>712</v>
      </c>
      <c r="C44" s="17" t="s">
        <v>66</v>
      </c>
      <c r="D44">
        <v>2024</v>
      </c>
      <c r="F44" t="s">
        <v>14</v>
      </c>
      <c r="K44" t="s">
        <v>66</v>
      </c>
      <c r="M44" t="s">
        <v>713</v>
      </c>
      <c r="N44" t="s">
        <v>66</v>
      </c>
      <c r="O44" s="1" t="s">
        <v>714</v>
      </c>
      <c r="P44" s="3" t="s">
        <v>715</v>
      </c>
      <c r="Q44" s="3" t="s">
        <v>716</v>
      </c>
      <c r="R44" s="9" t="s">
        <v>53</v>
      </c>
      <c r="S44" s="9" t="s">
        <v>53</v>
      </c>
      <c r="T44" s="9" t="s">
        <v>53</v>
      </c>
      <c r="U44" s="9" t="s">
        <v>53</v>
      </c>
      <c r="V44" s="9" t="s">
        <v>54</v>
      </c>
      <c r="W44" s="9" t="s">
        <v>54</v>
      </c>
      <c r="X44" s="9" t="s">
        <v>54</v>
      </c>
      <c r="Y44" s="9" t="s">
        <v>53</v>
      </c>
      <c r="Z44" s="18" t="s">
        <v>53</v>
      </c>
      <c r="AA44" s="8"/>
      <c r="AB44">
        <f t="shared" si="3"/>
        <v>3</v>
      </c>
      <c r="AC44">
        <f t="shared" si="4"/>
        <v>1</v>
      </c>
      <c r="AD44">
        <f t="shared" si="5"/>
        <v>2</v>
      </c>
      <c r="AE44" t="s">
        <v>54</v>
      </c>
      <c r="AF44" t="s">
        <v>66</v>
      </c>
      <c r="AH44" t="s">
        <v>54</v>
      </c>
    </row>
    <row r="45" spans="1:34" x14ac:dyDescent="0.35">
      <c r="A45" t="s">
        <v>182</v>
      </c>
      <c r="B45" t="s">
        <v>183</v>
      </c>
      <c r="C45" s="17" t="s">
        <v>116</v>
      </c>
      <c r="F45" t="s">
        <v>14</v>
      </c>
      <c r="K45" t="s">
        <v>184</v>
      </c>
      <c r="M45" t="s">
        <v>185</v>
      </c>
      <c r="N45" s="1" t="s">
        <v>186</v>
      </c>
      <c r="O45" s="1" t="s">
        <v>187</v>
      </c>
      <c r="P45" s="3" t="s">
        <v>188</v>
      </c>
      <c r="Q45" s="3" t="s">
        <v>189</v>
      </c>
      <c r="R45" s="9" t="s">
        <v>53</v>
      </c>
      <c r="S45" s="9" t="s">
        <v>53</v>
      </c>
      <c r="T45" s="9" t="s">
        <v>54</v>
      </c>
      <c r="U45" s="9" t="s">
        <v>53</v>
      </c>
      <c r="V45" s="9" t="s">
        <v>53</v>
      </c>
      <c r="W45" s="9" t="s">
        <v>53</v>
      </c>
      <c r="X45" s="9" t="s">
        <v>53</v>
      </c>
      <c r="Y45" s="9" t="s">
        <v>53</v>
      </c>
      <c r="Z45" s="18" t="s">
        <v>54</v>
      </c>
      <c r="AA45" s="8" t="s">
        <v>97</v>
      </c>
      <c r="AB45">
        <f t="shared" si="3"/>
        <v>2</v>
      </c>
      <c r="AC45">
        <f t="shared" si="4"/>
        <v>3</v>
      </c>
      <c r="AD45">
        <f t="shared" si="5"/>
        <v>2</v>
      </c>
      <c r="AE45" t="s">
        <v>53</v>
      </c>
      <c r="AF45" t="s">
        <v>173</v>
      </c>
      <c r="AH45" t="s">
        <v>54</v>
      </c>
    </row>
    <row r="46" spans="1:34" x14ac:dyDescent="0.35">
      <c r="A46" t="s">
        <v>803</v>
      </c>
      <c r="B46" t="s">
        <v>804</v>
      </c>
      <c r="C46" s="17">
        <v>0.2</v>
      </c>
      <c r="D46">
        <v>2024</v>
      </c>
      <c r="F46" t="s">
        <v>14</v>
      </c>
      <c r="K46" t="s">
        <v>47</v>
      </c>
      <c r="M46" t="s">
        <v>805</v>
      </c>
      <c r="N46" s="1" t="s">
        <v>806</v>
      </c>
      <c r="O46" s="1" t="s">
        <v>807</v>
      </c>
      <c r="P46" s="3" t="s">
        <v>934</v>
      </c>
      <c r="Q46" s="3" t="s">
        <v>811</v>
      </c>
      <c r="R46" s="9" t="s">
        <v>53</v>
      </c>
      <c r="S46" s="9" t="s">
        <v>53</v>
      </c>
      <c r="T46" s="9" t="s">
        <v>54</v>
      </c>
      <c r="U46" s="23" t="s">
        <v>53</v>
      </c>
      <c r="V46" s="9" t="s">
        <v>53</v>
      </c>
      <c r="W46" s="9" t="s">
        <v>53</v>
      </c>
      <c r="X46" s="9" t="s">
        <v>54</v>
      </c>
      <c r="Y46" s="9" t="s">
        <v>54</v>
      </c>
      <c r="Z46" s="18" t="s">
        <v>54</v>
      </c>
      <c r="AA46" s="8"/>
      <c r="AB46">
        <f t="shared" si="3"/>
        <v>2</v>
      </c>
      <c r="AC46">
        <f t="shared" si="4"/>
        <v>3</v>
      </c>
      <c r="AD46">
        <f t="shared" si="5"/>
        <v>0</v>
      </c>
      <c r="AE46" t="s">
        <v>53</v>
      </c>
      <c r="AF46" t="s">
        <v>815</v>
      </c>
    </row>
    <row r="47" spans="1:34" ht="29" x14ac:dyDescent="0.35">
      <c r="A47" t="s">
        <v>177</v>
      </c>
      <c r="B47" t="s">
        <v>178</v>
      </c>
      <c r="C47" s="17" t="s">
        <v>116</v>
      </c>
      <c r="F47" t="s">
        <v>0</v>
      </c>
      <c r="G47" t="s">
        <v>14</v>
      </c>
      <c r="K47" t="s">
        <v>47</v>
      </c>
      <c r="M47" t="s">
        <v>179</v>
      </c>
      <c r="N47" s="1" t="s">
        <v>180</v>
      </c>
      <c r="O47" s="1" t="s">
        <v>180</v>
      </c>
      <c r="P47" s="3" t="s">
        <v>181</v>
      </c>
      <c r="Q47" s="3" t="s">
        <v>746</v>
      </c>
      <c r="R47" s="9" t="s">
        <v>53</v>
      </c>
      <c r="S47" s="9" t="s">
        <v>53</v>
      </c>
      <c r="T47" s="9" t="s">
        <v>53</v>
      </c>
      <c r="U47" s="9" t="s">
        <v>54</v>
      </c>
      <c r="V47" s="9" t="s">
        <v>53</v>
      </c>
      <c r="W47" s="9" t="s">
        <v>53</v>
      </c>
      <c r="X47" s="9" t="s">
        <v>53</v>
      </c>
      <c r="Y47" s="9" t="s">
        <v>53</v>
      </c>
      <c r="Z47" s="18" t="s">
        <v>53</v>
      </c>
      <c r="AA47" s="8" t="s">
        <v>55</v>
      </c>
      <c r="AB47">
        <f t="shared" si="3"/>
        <v>3</v>
      </c>
      <c r="AC47">
        <f t="shared" si="4"/>
        <v>2</v>
      </c>
      <c r="AD47">
        <f t="shared" si="5"/>
        <v>3</v>
      </c>
      <c r="AE47" t="s">
        <v>54</v>
      </c>
      <c r="AF47" t="s">
        <v>66</v>
      </c>
      <c r="AH47" t="s">
        <v>54</v>
      </c>
    </row>
    <row r="48" spans="1:34" x14ac:dyDescent="0.35">
      <c r="A48" t="s">
        <v>814</v>
      </c>
      <c r="B48" t="s">
        <v>813</v>
      </c>
      <c r="C48" s="17">
        <v>0.2</v>
      </c>
      <c r="D48">
        <v>2024</v>
      </c>
      <c r="F48" t="s">
        <v>641</v>
      </c>
      <c r="K48" t="s">
        <v>47</v>
      </c>
      <c r="M48" t="s">
        <v>824</v>
      </c>
      <c r="N48" s="1" t="s">
        <v>816</v>
      </c>
      <c r="O48" s="1" t="s">
        <v>807</v>
      </c>
      <c r="P48" s="3" t="s">
        <v>935</v>
      </c>
      <c r="Q48" s="3" t="s">
        <v>811</v>
      </c>
      <c r="R48" s="9" t="s">
        <v>53</v>
      </c>
      <c r="S48" s="9" t="s">
        <v>53</v>
      </c>
      <c r="T48" s="9" t="s">
        <v>54</v>
      </c>
      <c r="U48" s="23" t="s">
        <v>53</v>
      </c>
      <c r="V48" s="9" t="s">
        <v>53</v>
      </c>
      <c r="W48" s="9" t="s">
        <v>53</v>
      </c>
      <c r="X48" s="9" t="s">
        <v>54</v>
      </c>
      <c r="Y48" s="9" t="s">
        <v>54</v>
      </c>
      <c r="Z48" s="18" t="s">
        <v>53</v>
      </c>
      <c r="AA48" s="8"/>
      <c r="AB48">
        <f t="shared" si="3"/>
        <v>2</v>
      </c>
      <c r="AC48">
        <f t="shared" si="4"/>
        <v>3</v>
      </c>
      <c r="AD48">
        <f t="shared" si="5"/>
        <v>1</v>
      </c>
      <c r="AE48" t="s">
        <v>53</v>
      </c>
      <c r="AF48" t="s">
        <v>815</v>
      </c>
    </row>
    <row r="49" spans="1:34" x14ac:dyDescent="0.35">
      <c r="A49" s="7" t="s">
        <v>266</v>
      </c>
      <c r="B49" t="s">
        <v>267</v>
      </c>
      <c r="C49" s="17" t="s">
        <v>66</v>
      </c>
      <c r="D49">
        <v>2019</v>
      </c>
      <c r="E49" t="s">
        <v>169</v>
      </c>
      <c r="F49" t="s">
        <v>15</v>
      </c>
      <c r="G49" t="s">
        <v>17</v>
      </c>
      <c r="K49" t="s">
        <v>66</v>
      </c>
      <c r="M49" t="s">
        <v>170</v>
      </c>
      <c r="N49" t="s">
        <v>66</v>
      </c>
      <c r="O49" s="1" t="s">
        <v>268</v>
      </c>
      <c r="P49" s="3" t="s">
        <v>66</v>
      </c>
      <c r="Q49" s="3" t="s">
        <v>66</v>
      </c>
      <c r="R49" s="9" t="s">
        <v>54</v>
      </c>
      <c r="S49" s="9" t="s">
        <v>54</v>
      </c>
      <c r="T49" s="9" t="s">
        <v>54</v>
      </c>
      <c r="U49" s="9" t="s">
        <v>54</v>
      </c>
      <c r="V49" s="9" t="s">
        <v>54</v>
      </c>
      <c r="W49" s="9" t="s">
        <v>54</v>
      </c>
      <c r="X49" s="9" t="s">
        <v>54</v>
      </c>
      <c r="Y49" s="9" t="s">
        <v>54</v>
      </c>
      <c r="Z49" s="18" t="s">
        <v>54</v>
      </c>
      <c r="AA49" s="8" t="s">
        <v>82</v>
      </c>
      <c r="AB49">
        <f t="shared" si="3"/>
        <v>0</v>
      </c>
      <c r="AC49">
        <f t="shared" si="4"/>
        <v>0</v>
      </c>
      <c r="AD49">
        <f t="shared" si="5"/>
        <v>0</v>
      </c>
      <c r="AE49" t="s">
        <v>54</v>
      </c>
      <c r="AF49" t="s">
        <v>66</v>
      </c>
      <c r="AH49" t="s">
        <v>54</v>
      </c>
    </row>
    <row r="50" spans="1:34" x14ac:dyDescent="0.35">
      <c r="A50" t="s">
        <v>280</v>
      </c>
      <c r="B50" t="s">
        <v>62</v>
      </c>
      <c r="C50" s="17">
        <v>0.8</v>
      </c>
      <c r="D50">
        <v>2019</v>
      </c>
      <c r="E50" t="s">
        <v>169</v>
      </c>
      <c r="F50" t="s">
        <v>15</v>
      </c>
      <c r="G50" t="s">
        <v>17</v>
      </c>
      <c r="K50" t="s">
        <v>60</v>
      </c>
      <c r="M50" t="s">
        <v>281</v>
      </c>
      <c r="N50" s="1" t="s">
        <v>282</v>
      </c>
      <c r="O50" s="1" t="s">
        <v>283</v>
      </c>
      <c r="P50" s="3" t="s">
        <v>284</v>
      </c>
      <c r="Q50" s="3" t="s">
        <v>747</v>
      </c>
      <c r="R50" s="9" t="s">
        <v>53</v>
      </c>
      <c r="S50" s="9" t="s">
        <v>53</v>
      </c>
      <c r="T50" s="9" t="s">
        <v>54</v>
      </c>
      <c r="U50" s="9" t="s">
        <v>53</v>
      </c>
      <c r="V50" s="9" t="s">
        <v>53</v>
      </c>
      <c r="W50" s="9" t="s">
        <v>53</v>
      </c>
      <c r="X50" s="9" t="s">
        <v>53</v>
      </c>
      <c r="Y50" s="9" t="s">
        <v>53</v>
      </c>
      <c r="Z50" s="18" t="s">
        <v>54</v>
      </c>
      <c r="AA50" s="8" t="s">
        <v>97</v>
      </c>
      <c r="AB50">
        <f t="shared" si="3"/>
        <v>2</v>
      </c>
      <c r="AC50">
        <f t="shared" si="4"/>
        <v>3</v>
      </c>
      <c r="AD50">
        <f t="shared" si="5"/>
        <v>2</v>
      </c>
      <c r="AE50" t="s">
        <v>54</v>
      </c>
      <c r="AF50" t="s">
        <v>66</v>
      </c>
      <c r="AH50" t="s">
        <v>54</v>
      </c>
    </row>
    <row r="51" spans="1:34" x14ac:dyDescent="0.35">
      <c r="A51" t="s">
        <v>291</v>
      </c>
      <c r="B51" t="s">
        <v>292</v>
      </c>
      <c r="D51">
        <v>2023</v>
      </c>
      <c r="F51" t="s">
        <v>0</v>
      </c>
      <c r="G51" t="s">
        <v>1</v>
      </c>
      <c r="K51" t="s">
        <v>184</v>
      </c>
      <c r="L51" t="s">
        <v>293</v>
      </c>
      <c r="M51" t="s">
        <v>294</v>
      </c>
      <c r="N51" s="1" t="s">
        <v>295</v>
      </c>
      <c r="P51" s="3" t="s">
        <v>296</v>
      </c>
      <c r="Q51" s="3" t="s">
        <v>297</v>
      </c>
      <c r="R51" s="9" t="s">
        <v>53</v>
      </c>
      <c r="S51" s="9" t="s">
        <v>53</v>
      </c>
      <c r="T51" s="9" t="s">
        <v>54</v>
      </c>
      <c r="U51" s="9" t="s">
        <v>53</v>
      </c>
      <c r="V51" s="9" t="s">
        <v>53</v>
      </c>
      <c r="W51" s="9" t="s">
        <v>53</v>
      </c>
      <c r="X51" s="9" t="s">
        <v>53</v>
      </c>
      <c r="Y51" s="9" t="s">
        <v>53</v>
      </c>
      <c r="Z51" s="18" t="s">
        <v>54</v>
      </c>
      <c r="AA51" s="8" t="s">
        <v>82</v>
      </c>
      <c r="AB51">
        <f t="shared" si="3"/>
        <v>2</v>
      </c>
      <c r="AC51">
        <f t="shared" si="4"/>
        <v>3</v>
      </c>
      <c r="AD51">
        <f t="shared" si="5"/>
        <v>2</v>
      </c>
      <c r="AE51" t="s">
        <v>54</v>
      </c>
      <c r="AF51" t="s">
        <v>66</v>
      </c>
      <c r="AH51" t="s">
        <v>54</v>
      </c>
    </row>
    <row r="52" spans="1:34" x14ac:dyDescent="0.35">
      <c r="A52" t="s">
        <v>274</v>
      </c>
      <c r="B52" t="s">
        <v>275</v>
      </c>
      <c r="C52" s="17" t="s">
        <v>66</v>
      </c>
      <c r="D52">
        <v>2023</v>
      </c>
      <c r="E52" t="s">
        <v>2</v>
      </c>
      <c r="F52" t="s">
        <v>2</v>
      </c>
      <c r="G52" t="s">
        <v>11</v>
      </c>
      <c r="K52" t="s">
        <v>47</v>
      </c>
      <c r="L52" t="s">
        <v>276</v>
      </c>
      <c r="N52" s="1" t="s">
        <v>277</v>
      </c>
      <c r="O52" s="1" t="s">
        <v>278</v>
      </c>
      <c r="P52" s="3" t="s">
        <v>279</v>
      </c>
      <c r="Q52" s="3" t="s">
        <v>748</v>
      </c>
      <c r="R52" s="9" t="s">
        <v>53</v>
      </c>
      <c r="S52" s="9" t="s">
        <v>53</v>
      </c>
      <c r="T52" s="9" t="s">
        <v>53</v>
      </c>
      <c r="U52" s="9" t="s">
        <v>53</v>
      </c>
      <c r="V52" s="9" t="s">
        <v>53</v>
      </c>
      <c r="W52" s="9" t="s">
        <v>53</v>
      </c>
      <c r="X52" s="9" t="s">
        <v>53</v>
      </c>
      <c r="Y52" s="9" t="s">
        <v>54</v>
      </c>
      <c r="Z52" s="18" t="s">
        <v>54</v>
      </c>
      <c r="AA52" s="8" t="s">
        <v>91</v>
      </c>
      <c r="AB52">
        <f t="shared" si="3"/>
        <v>3</v>
      </c>
      <c r="AC52">
        <f t="shared" si="4"/>
        <v>3</v>
      </c>
      <c r="AD52">
        <f t="shared" si="5"/>
        <v>1</v>
      </c>
      <c r="AE52" t="s">
        <v>54</v>
      </c>
      <c r="AF52" t="s">
        <v>66</v>
      </c>
      <c r="AH52" t="s">
        <v>54</v>
      </c>
    </row>
    <row r="53" spans="1:34" x14ac:dyDescent="0.35">
      <c r="A53" t="s">
        <v>842</v>
      </c>
      <c r="B53" t="s">
        <v>843</v>
      </c>
      <c r="C53" s="17" t="s">
        <v>66</v>
      </c>
      <c r="D53">
        <v>2016</v>
      </c>
      <c r="F53" t="s">
        <v>15</v>
      </c>
      <c r="G53" t="s">
        <v>17</v>
      </c>
      <c r="K53" t="s">
        <v>66</v>
      </c>
      <c r="M53" t="s">
        <v>844</v>
      </c>
      <c r="O53" s="1" t="s">
        <v>841</v>
      </c>
      <c r="P53" s="3" t="s">
        <v>66</v>
      </c>
      <c r="Q53" s="3" t="s">
        <v>66</v>
      </c>
      <c r="R53" s="9" t="s">
        <v>54</v>
      </c>
      <c r="S53" s="9" t="s">
        <v>54</v>
      </c>
      <c r="T53" s="9" t="s">
        <v>54</v>
      </c>
      <c r="U53" s="9" t="s">
        <v>53</v>
      </c>
      <c r="V53" s="9" t="s">
        <v>54</v>
      </c>
      <c r="W53" s="9" t="s">
        <v>54</v>
      </c>
      <c r="X53" s="9" t="s">
        <v>53</v>
      </c>
      <c r="Y53" s="9" t="s">
        <v>54</v>
      </c>
      <c r="Z53" s="18" t="s">
        <v>54</v>
      </c>
      <c r="AA53" s="8"/>
      <c r="AB53">
        <f t="shared" si="3"/>
        <v>0</v>
      </c>
      <c r="AC53">
        <f t="shared" si="4"/>
        <v>1</v>
      </c>
      <c r="AD53">
        <f t="shared" si="5"/>
        <v>1</v>
      </c>
      <c r="AE53" t="s">
        <v>54</v>
      </c>
      <c r="AF53" t="s">
        <v>66</v>
      </c>
      <c r="AH53" t="s">
        <v>54</v>
      </c>
    </row>
    <row r="54" spans="1:34" x14ac:dyDescent="0.35">
      <c r="A54" t="s">
        <v>190</v>
      </c>
      <c r="B54" t="s">
        <v>191</v>
      </c>
      <c r="C54" s="17" t="s">
        <v>66</v>
      </c>
      <c r="D54">
        <v>2024</v>
      </c>
      <c r="F54" t="s">
        <v>0</v>
      </c>
      <c r="G54" t="s">
        <v>10</v>
      </c>
      <c r="K54" t="s">
        <v>192</v>
      </c>
      <c r="M54" t="s">
        <v>790</v>
      </c>
      <c r="N54" t="s">
        <v>66</v>
      </c>
      <c r="O54" s="1" t="s">
        <v>193</v>
      </c>
      <c r="P54" s="3" t="s">
        <v>66</v>
      </c>
      <c r="Q54" s="3" t="s">
        <v>727</v>
      </c>
      <c r="R54" s="9" t="s">
        <v>53</v>
      </c>
      <c r="S54" s="9" t="s">
        <v>54</v>
      </c>
      <c r="T54" s="9" t="s">
        <v>54</v>
      </c>
      <c r="U54" s="9" t="s">
        <v>53</v>
      </c>
      <c r="V54" s="9" t="s">
        <v>53</v>
      </c>
      <c r="W54" s="9" t="s">
        <v>54</v>
      </c>
      <c r="X54" s="9" t="s">
        <v>53</v>
      </c>
      <c r="Y54" s="9" t="s">
        <v>54</v>
      </c>
      <c r="Z54" s="18" t="s">
        <v>54</v>
      </c>
      <c r="AA54" s="8" t="s">
        <v>71</v>
      </c>
      <c r="AB54">
        <f t="shared" si="3"/>
        <v>1</v>
      </c>
      <c r="AC54">
        <f t="shared" si="4"/>
        <v>2</v>
      </c>
      <c r="AD54">
        <f t="shared" si="5"/>
        <v>1</v>
      </c>
      <c r="AE54" t="s">
        <v>54</v>
      </c>
      <c r="AF54" t="s">
        <v>66</v>
      </c>
      <c r="AH54" t="s">
        <v>54</v>
      </c>
    </row>
    <row r="55" spans="1:34" x14ac:dyDescent="0.35">
      <c r="A55" t="s">
        <v>197</v>
      </c>
      <c r="B55" t="s">
        <v>198</v>
      </c>
      <c r="C55" s="17">
        <v>0.5</v>
      </c>
      <c r="D55">
        <v>2020</v>
      </c>
      <c r="E55" t="s">
        <v>199</v>
      </c>
      <c r="F55" t="s">
        <v>16</v>
      </c>
      <c r="K55" t="s">
        <v>47</v>
      </c>
      <c r="M55" t="s">
        <v>792</v>
      </c>
      <c r="N55" s="1" t="s">
        <v>200</v>
      </c>
      <c r="O55" s="1" t="s">
        <v>201</v>
      </c>
      <c r="P55" s="3" t="s">
        <v>202</v>
      </c>
      <c r="Q55" s="3" t="s">
        <v>203</v>
      </c>
      <c r="R55" s="9" t="s">
        <v>53</v>
      </c>
      <c r="S55" s="9" t="s">
        <v>53</v>
      </c>
      <c r="T55" s="9" t="s">
        <v>54</v>
      </c>
      <c r="U55" s="9" t="s">
        <v>53</v>
      </c>
      <c r="V55" s="9" t="s">
        <v>53</v>
      </c>
      <c r="W55" s="9" t="s">
        <v>53</v>
      </c>
      <c r="X55" s="9" t="s">
        <v>53</v>
      </c>
      <c r="Y55" s="11" t="s">
        <v>53</v>
      </c>
      <c r="Z55" s="18" t="s">
        <v>53</v>
      </c>
      <c r="AA55" s="8" t="s">
        <v>71</v>
      </c>
      <c r="AB55">
        <f t="shared" si="3"/>
        <v>2</v>
      </c>
      <c r="AC55">
        <f t="shared" si="4"/>
        <v>3</v>
      </c>
      <c r="AD55">
        <f t="shared" si="5"/>
        <v>3</v>
      </c>
      <c r="AE55" t="s">
        <v>53</v>
      </c>
      <c r="AF55" t="s">
        <v>204</v>
      </c>
      <c r="AH55" t="s">
        <v>54</v>
      </c>
    </row>
    <row r="56" spans="1:34" x14ac:dyDescent="0.35">
      <c r="A56" t="s">
        <v>205</v>
      </c>
      <c r="B56" t="s">
        <v>206</v>
      </c>
      <c r="C56" s="17">
        <v>0.5</v>
      </c>
      <c r="D56">
        <v>2019</v>
      </c>
      <c r="E56" t="s">
        <v>199</v>
      </c>
      <c r="F56" t="s">
        <v>14</v>
      </c>
      <c r="K56" t="s">
        <v>184</v>
      </c>
      <c r="M56" t="s">
        <v>793</v>
      </c>
      <c r="N56" s="1" t="s">
        <v>207</v>
      </c>
      <c r="O56" s="1" t="s">
        <v>208</v>
      </c>
      <c r="Q56" s="3" t="s">
        <v>209</v>
      </c>
      <c r="R56" s="9" t="s">
        <v>53</v>
      </c>
      <c r="S56" s="9" t="s">
        <v>54</v>
      </c>
      <c r="T56" s="9" t="s">
        <v>54</v>
      </c>
      <c r="U56" s="9" t="s">
        <v>53</v>
      </c>
      <c r="V56" s="9" t="s">
        <v>53</v>
      </c>
      <c r="W56" s="9" t="s">
        <v>53</v>
      </c>
      <c r="X56" s="9" t="s">
        <v>53</v>
      </c>
      <c r="Y56" s="11" t="s">
        <v>53</v>
      </c>
      <c r="Z56" s="18" t="s">
        <v>53</v>
      </c>
      <c r="AA56" s="8" t="s">
        <v>82</v>
      </c>
      <c r="AB56">
        <f t="shared" si="3"/>
        <v>1</v>
      </c>
      <c r="AC56">
        <f t="shared" si="4"/>
        <v>3</v>
      </c>
      <c r="AD56">
        <f t="shared" si="5"/>
        <v>3</v>
      </c>
      <c r="AE56" t="s">
        <v>53</v>
      </c>
      <c r="AF56" t="s">
        <v>204</v>
      </c>
      <c r="AH56" t="s">
        <v>54</v>
      </c>
    </row>
    <row r="57" spans="1:34" x14ac:dyDescent="0.35">
      <c r="A57" t="s">
        <v>217</v>
      </c>
      <c r="B57" t="s">
        <v>218</v>
      </c>
      <c r="C57" s="17">
        <v>0.5</v>
      </c>
      <c r="D57">
        <v>2019</v>
      </c>
      <c r="E57" t="s">
        <v>219</v>
      </c>
      <c r="F57" t="s">
        <v>4</v>
      </c>
      <c r="K57" t="s">
        <v>184</v>
      </c>
      <c r="M57" t="s">
        <v>220</v>
      </c>
      <c r="N57" s="1" t="s">
        <v>221</v>
      </c>
      <c r="O57" s="1" t="s">
        <v>222</v>
      </c>
      <c r="P57" s="3" t="s">
        <v>223</v>
      </c>
      <c r="Q57" s="3" t="s">
        <v>749</v>
      </c>
      <c r="R57" s="9" t="s">
        <v>53</v>
      </c>
      <c r="S57" s="9" t="s">
        <v>53</v>
      </c>
      <c r="T57" s="9" t="s">
        <v>54</v>
      </c>
      <c r="U57" s="9" t="s">
        <v>53</v>
      </c>
      <c r="V57" s="9" t="s">
        <v>53</v>
      </c>
      <c r="W57" s="9" t="s">
        <v>53</v>
      </c>
      <c r="X57" s="9" t="s">
        <v>53</v>
      </c>
      <c r="Y57" s="11" t="s">
        <v>53</v>
      </c>
      <c r="Z57" s="18" t="s">
        <v>54</v>
      </c>
      <c r="AA57" s="8" t="s">
        <v>97</v>
      </c>
      <c r="AB57">
        <f t="shared" si="3"/>
        <v>2</v>
      </c>
      <c r="AC57">
        <f t="shared" si="4"/>
        <v>3</v>
      </c>
      <c r="AD57">
        <f t="shared" si="5"/>
        <v>2</v>
      </c>
      <c r="AE57" t="s">
        <v>53</v>
      </c>
      <c r="AF57" t="s">
        <v>204</v>
      </c>
      <c r="AH57" t="s">
        <v>54</v>
      </c>
    </row>
    <row r="58" spans="1:34" x14ac:dyDescent="0.35">
      <c r="A58" t="s">
        <v>210</v>
      </c>
      <c r="B58" t="s">
        <v>211</v>
      </c>
      <c r="C58" s="17">
        <v>0.5</v>
      </c>
      <c r="D58">
        <v>2020</v>
      </c>
      <c r="E58" t="s">
        <v>199</v>
      </c>
      <c r="F58" t="s">
        <v>14</v>
      </c>
      <c r="K58" t="s">
        <v>184</v>
      </c>
      <c r="L58" t="s">
        <v>212</v>
      </c>
      <c r="M58" t="s">
        <v>213</v>
      </c>
      <c r="N58" s="1" t="s">
        <v>214</v>
      </c>
      <c r="O58" s="1" t="s">
        <v>215</v>
      </c>
      <c r="P58" s="3" t="s">
        <v>216</v>
      </c>
      <c r="Q58" s="3" t="s">
        <v>203</v>
      </c>
      <c r="R58" s="9" t="s">
        <v>53</v>
      </c>
      <c r="S58" s="9" t="s">
        <v>53</v>
      </c>
      <c r="T58" s="9" t="s">
        <v>54</v>
      </c>
      <c r="U58" s="9" t="s">
        <v>53</v>
      </c>
      <c r="V58" s="9" t="s">
        <v>53</v>
      </c>
      <c r="W58" s="9" t="s">
        <v>53</v>
      </c>
      <c r="X58" s="9" t="s">
        <v>53</v>
      </c>
      <c r="Y58" s="11" t="s">
        <v>53</v>
      </c>
      <c r="Z58" s="18" t="s">
        <v>53</v>
      </c>
      <c r="AA58" s="8" t="s">
        <v>91</v>
      </c>
      <c r="AB58">
        <f t="shared" si="3"/>
        <v>2</v>
      </c>
      <c r="AC58">
        <f t="shared" si="4"/>
        <v>3</v>
      </c>
      <c r="AD58">
        <f t="shared" si="5"/>
        <v>3</v>
      </c>
      <c r="AE58" t="s">
        <v>53</v>
      </c>
      <c r="AF58" t="s">
        <v>204</v>
      </c>
      <c r="AH58" t="s">
        <v>54</v>
      </c>
    </row>
    <row r="59" spans="1:34" x14ac:dyDescent="0.35">
      <c r="A59" t="s">
        <v>224</v>
      </c>
      <c r="B59" t="s">
        <v>225</v>
      </c>
      <c r="C59" s="17">
        <v>0.5</v>
      </c>
      <c r="D59">
        <v>2020</v>
      </c>
      <c r="E59" t="s">
        <v>199</v>
      </c>
      <c r="F59" t="s">
        <v>9</v>
      </c>
      <c r="K59" t="s">
        <v>184</v>
      </c>
      <c r="M59" t="s">
        <v>226</v>
      </c>
      <c r="N59" s="1" t="s">
        <v>227</v>
      </c>
      <c r="O59" s="1" t="s">
        <v>228</v>
      </c>
      <c r="P59" s="3" t="s">
        <v>229</v>
      </c>
      <c r="Q59" s="3" t="s">
        <v>750</v>
      </c>
      <c r="R59" s="9" t="s">
        <v>53</v>
      </c>
      <c r="S59" s="9" t="s">
        <v>53</v>
      </c>
      <c r="T59" s="9" t="s">
        <v>54</v>
      </c>
      <c r="U59" s="9" t="s">
        <v>53</v>
      </c>
      <c r="V59" s="9" t="s">
        <v>53</v>
      </c>
      <c r="W59" s="9" t="s">
        <v>53</v>
      </c>
      <c r="X59" s="9" t="s">
        <v>53</v>
      </c>
      <c r="Y59" s="11" t="s">
        <v>53</v>
      </c>
      <c r="Z59" s="18" t="s">
        <v>53</v>
      </c>
      <c r="AA59" s="8" t="s">
        <v>71</v>
      </c>
      <c r="AB59">
        <f t="shared" si="3"/>
        <v>2</v>
      </c>
      <c r="AC59">
        <f t="shared" si="4"/>
        <v>3</v>
      </c>
      <c r="AD59">
        <f t="shared" si="5"/>
        <v>3</v>
      </c>
      <c r="AE59" t="s">
        <v>53</v>
      </c>
      <c r="AF59" t="s">
        <v>204</v>
      </c>
      <c r="AH59" t="s">
        <v>54</v>
      </c>
    </row>
    <row r="60" spans="1:34" x14ac:dyDescent="0.35">
      <c r="A60" t="s">
        <v>194</v>
      </c>
      <c r="B60" t="s">
        <v>195</v>
      </c>
      <c r="F60" t="s">
        <v>0</v>
      </c>
      <c r="G60" t="s">
        <v>1</v>
      </c>
      <c r="K60" t="s">
        <v>66</v>
      </c>
      <c r="M60" t="s">
        <v>791</v>
      </c>
      <c r="N60" s="1" t="s">
        <v>196</v>
      </c>
      <c r="O60" s="1"/>
      <c r="P60" s="3" t="s">
        <v>66</v>
      </c>
      <c r="Q60" s="3" t="s">
        <v>751</v>
      </c>
      <c r="R60" s="9" t="s">
        <v>53</v>
      </c>
      <c r="S60" s="9" t="s">
        <v>54</v>
      </c>
      <c r="T60" s="9" t="s">
        <v>54</v>
      </c>
      <c r="U60" s="9" t="s">
        <v>53</v>
      </c>
      <c r="V60" s="9" t="s">
        <v>53</v>
      </c>
      <c r="W60" s="9" t="s">
        <v>53</v>
      </c>
      <c r="X60" s="9" t="s">
        <v>53</v>
      </c>
      <c r="Y60" s="11" t="s">
        <v>53</v>
      </c>
      <c r="Z60" s="18" t="s">
        <v>54</v>
      </c>
      <c r="AA60" s="8" t="s">
        <v>55</v>
      </c>
      <c r="AB60">
        <f t="shared" si="3"/>
        <v>1</v>
      </c>
      <c r="AC60">
        <f t="shared" si="4"/>
        <v>3</v>
      </c>
      <c r="AD60">
        <f t="shared" si="5"/>
        <v>2</v>
      </c>
      <c r="AE60" t="s">
        <v>53</v>
      </c>
      <c r="AF60" t="s">
        <v>204</v>
      </c>
      <c r="AH60" t="s">
        <v>54</v>
      </c>
    </row>
    <row r="61" spans="1:34" x14ac:dyDescent="0.35">
      <c r="A61" t="s">
        <v>230</v>
      </c>
      <c r="B61" t="s">
        <v>231</v>
      </c>
      <c r="C61" s="17">
        <v>0.5</v>
      </c>
      <c r="D61">
        <v>2022</v>
      </c>
      <c r="E61" t="s">
        <v>232</v>
      </c>
      <c r="F61" t="s">
        <v>14</v>
      </c>
      <c r="K61" t="s">
        <v>184</v>
      </c>
      <c r="L61" t="s">
        <v>233</v>
      </c>
      <c r="M61" t="s">
        <v>234</v>
      </c>
      <c r="N61" s="1" t="s">
        <v>235</v>
      </c>
      <c r="O61" s="1" t="s">
        <v>236</v>
      </c>
      <c r="P61" s="3" t="s">
        <v>229</v>
      </c>
      <c r="Q61" s="3" t="s">
        <v>752</v>
      </c>
      <c r="R61" s="9" t="s">
        <v>53</v>
      </c>
      <c r="S61" s="9" t="s">
        <v>53</v>
      </c>
      <c r="T61" s="9" t="s">
        <v>54</v>
      </c>
      <c r="U61" s="9" t="s">
        <v>53</v>
      </c>
      <c r="V61" s="9" t="s">
        <v>53</v>
      </c>
      <c r="W61" s="9" t="s">
        <v>53</v>
      </c>
      <c r="X61" s="9" t="s">
        <v>53</v>
      </c>
      <c r="Y61" s="11" t="s">
        <v>53</v>
      </c>
      <c r="Z61" s="18" t="s">
        <v>54</v>
      </c>
      <c r="AA61" s="8" t="s">
        <v>71</v>
      </c>
      <c r="AB61">
        <f t="shared" si="3"/>
        <v>2</v>
      </c>
      <c r="AC61">
        <f t="shared" si="4"/>
        <v>3</v>
      </c>
      <c r="AD61">
        <f t="shared" si="5"/>
        <v>2</v>
      </c>
      <c r="AE61" t="s">
        <v>53</v>
      </c>
      <c r="AF61" t="s">
        <v>204</v>
      </c>
      <c r="AH61" t="s">
        <v>54</v>
      </c>
    </row>
    <row r="62" spans="1:34" x14ac:dyDescent="0.35">
      <c r="A62" t="s">
        <v>237</v>
      </c>
      <c r="B62" t="s">
        <v>238</v>
      </c>
      <c r="C62" s="17">
        <v>0.5</v>
      </c>
      <c r="D62">
        <v>2019</v>
      </c>
      <c r="E62" t="s">
        <v>11</v>
      </c>
      <c r="F62" t="s">
        <v>11</v>
      </c>
      <c r="K62" t="s">
        <v>47</v>
      </c>
      <c r="M62" t="s">
        <v>239</v>
      </c>
      <c r="N62" s="1" t="s">
        <v>240</v>
      </c>
      <c r="O62" s="1" t="s">
        <v>241</v>
      </c>
      <c r="P62" s="3" t="s">
        <v>242</v>
      </c>
      <c r="Q62" s="3" t="s">
        <v>753</v>
      </c>
      <c r="R62" s="9" t="s">
        <v>53</v>
      </c>
      <c r="S62" s="9" t="s">
        <v>53</v>
      </c>
      <c r="T62" s="9" t="s">
        <v>54</v>
      </c>
      <c r="U62" s="9" t="s">
        <v>53</v>
      </c>
      <c r="V62" s="9" t="s">
        <v>53</v>
      </c>
      <c r="W62" s="9" t="s">
        <v>53</v>
      </c>
      <c r="X62" s="9" t="s">
        <v>53</v>
      </c>
      <c r="Y62" s="11" t="s">
        <v>53</v>
      </c>
      <c r="Z62" s="18" t="s">
        <v>53</v>
      </c>
      <c r="AA62" s="8" t="s">
        <v>71</v>
      </c>
      <c r="AB62">
        <f t="shared" si="3"/>
        <v>2</v>
      </c>
      <c r="AC62">
        <f t="shared" si="4"/>
        <v>3</v>
      </c>
      <c r="AD62">
        <f t="shared" si="5"/>
        <v>3</v>
      </c>
      <c r="AE62" t="s">
        <v>53</v>
      </c>
      <c r="AF62" t="s">
        <v>204</v>
      </c>
      <c r="AH62" t="s">
        <v>54</v>
      </c>
    </row>
    <row r="63" spans="1:34" ht="29" x14ac:dyDescent="0.35">
      <c r="A63" t="s">
        <v>243</v>
      </c>
      <c r="B63" t="s">
        <v>244</v>
      </c>
      <c r="C63" s="17">
        <v>0.5</v>
      </c>
      <c r="D63">
        <v>2019</v>
      </c>
      <c r="E63" t="s">
        <v>219</v>
      </c>
      <c r="F63" t="s">
        <v>3</v>
      </c>
      <c r="G63" t="s">
        <v>17</v>
      </c>
      <c r="K63" t="s">
        <v>184</v>
      </c>
      <c r="M63" t="s">
        <v>245</v>
      </c>
      <c r="N63" s="1" t="s">
        <v>246</v>
      </c>
      <c r="O63" s="1" t="s">
        <v>247</v>
      </c>
      <c r="P63" s="3" t="s">
        <v>248</v>
      </c>
      <c r="Q63" s="3" t="s">
        <v>754</v>
      </c>
      <c r="R63" s="9" t="s">
        <v>53</v>
      </c>
      <c r="S63" s="9" t="s">
        <v>53</v>
      </c>
      <c r="T63" s="9" t="s">
        <v>54</v>
      </c>
      <c r="U63" s="9" t="s">
        <v>53</v>
      </c>
      <c r="V63" s="9" t="s">
        <v>53</v>
      </c>
      <c r="W63" s="9" t="s">
        <v>53</v>
      </c>
      <c r="X63" s="9" t="s">
        <v>53</v>
      </c>
      <c r="Y63" s="11" t="s">
        <v>53</v>
      </c>
      <c r="Z63" s="18" t="s">
        <v>54</v>
      </c>
      <c r="AA63" s="8" t="s">
        <v>82</v>
      </c>
      <c r="AB63">
        <f t="shared" si="3"/>
        <v>2</v>
      </c>
      <c r="AC63">
        <f t="shared" si="4"/>
        <v>3</v>
      </c>
      <c r="AD63">
        <f t="shared" si="5"/>
        <v>2</v>
      </c>
      <c r="AE63" t="s">
        <v>53</v>
      </c>
      <c r="AF63" t="s">
        <v>204</v>
      </c>
      <c r="AH63" t="s">
        <v>54</v>
      </c>
    </row>
    <row r="64" spans="1:34" x14ac:dyDescent="0.35">
      <c r="A64" t="s">
        <v>249</v>
      </c>
      <c r="B64" t="s">
        <v>250</v>
      </c>
      <c r="C64" s="17">
        <v>0.5</v>
      </c>
      <c r="D64">
        <v>2019</v>
      </c>
      <c r="E64" t="s">
        <v>199</v>
      </c>
      <c r="F64" t="s">
        <v>14</v>
      </c>
      <c r="K64" t="s">
        <v>184</v>
      </c>
      <c r="M64" t="s">
        <v>251</v>
      </c>
      <c r="N64" s="1" t="s">
        <v>252</v>
      </c>
      <c r="O64" s="1" t="s">
        <v>253</v>
      </c>
      <c r="P64" s="3" t="s">
        <v>254</v>
      </c>
      <c r="Q64" s="3" t="s">
        <v>203</v>
      </c>
      <c r="R64" s="9" t="s">
        <v>53</v>
      </c>
      <c r="S64" s="9" t="s">
        <v>53</v>
      </c>
      <c r="T64" s="9" t="s">
        <v>54</v>
      </c>
      <c r="U64" s="9" t="s">
        <v>53</v>
      </c>
      <c r="V64" s="9" t="s">
        <v>53</v>
      </c>
      <c r="W64" s="9" t="s">
        <v>53</v>
      </c>
      <c r="X64" s="9" t="s">
        <v>53</v>
      </c>
      <c r="Y64" s="11" t="s">
        <v>53</v>
      </c>
      <c r="Z64" s="18" t="s">
        <v>53</v>
      </c>
      <c r="AA64" s="8" t="s">
        <v>91</v>
      </c>
      <c r="AB64">
        <f t="shared" si="3"/>
        <v>2</v>
      </c>
      <c r="AC64">
        <f t="shared" si="4"/>
        <v>3</v>
      </c>
      <c r="AD64">
        <f t="shared" si="5"/>
        <v>3</v>
      </c>
      <c r="AE64" t="s">
        <v>53</v>
      </c>
      <c r="AF64" t="s">
        <v>204</v>
      </c>
      <c r="AH64" t="s">
        <v>54</v>
      </c>
    </row>
    <row r="65" spans="1:34" x14ac:dyDescent="0.35">
      <c r="A65" t="s">
        <v>255</v>
      </c>
      <c r="B65" t="s">
        <v>256</v>
      </c>
      <c r="F65" t="s">
        <v>14</v>
      </c>
      <c r="K65" t="s">
        <v>66</v>
      </c>
      <c r="N65" s="1" t="s">
        <v>257</v>
      </c>
      <c r="O65" s="1"/>
      <c r="P65" s="3" t="s">
        <v>66</v>
      </c>
      <c r="Q65" s="3" t="s">
        <v>752</v>
      </c>
      <c r="R65" s="9" t="s">
        <v>53</v>
      </c>
      <c r="S65" s="9" t="s">
        <v>54</v>
      </c>
      <c r="T65" s="9" t="s">
        <v>54</v>
      </c>
      <c r="U65" s="9" t="s">
        <v>53</v>
      </c>
      <c r="V65" s="9" t="s">
        <v>53</v>
      </c>
      <c r="W65" s="9" t="s">
        <v>53</v>
      </c>
      <c r="X65" s="9" t="s">
        <v>53</v>
      </c>
      <c r="Y65" s="11" t="s">
        <v>53</v>
      </c>
      <c r="Z65" s="18" t="s">
        <v>54</v>
      </c>
      <c r="AA65" s="8" t="s">
        <v>55</v>
      </c>
      <c r="AB65">
        <f t="shared" si="3"/>
        <v>1</v>
      </c>
      <c r="AC65">
        <f t="shared" si="4"/>
        <v>3</v>
      </c>
      <c r="AD65">
        <f t="shared" si="5"/>
        <v>2</v>
      </c>
      <c r="AE65" t="s">
        <v>53</v>
      </c>
      <c r="AF65" t="s">
        <v>204</v>
      </c>
      <c r="AH65" t="s">
        <v>54</v>
      </c>
    </row>
    <row r="66" spans="1:34" x14ac:dyDescent="0.35">
      <c r="A66" t="s">
        <v>258</v>
      </c>
      <c r="B66" t="s">
        <v>259</v>
      </c>
      <c r="D66">
        <v>2019</v>
      </c>
      <c r="F66" t="s">
        <v>4</v>
      </c>
      <c r="G66" t="s">
        <v>641</v>
      </c>
      <c r="K66" t="s">
        <v>184</v>
      </c>
      <c r="N66" s="1" t="s">
        <v>260</v>
      </c>
      <c r="O66" s="1"/>
      <c r="P66" s="3" t="s">
        <v>66</v>
      </c>
      <c r="Q66" s="3" t="s">
        <v>755</v>
      </c>
      <c r="R66" s="9" t="s">
        <v>53</v>
      </c>
      <c r="S66" s="9" t="s">
        <v>54</v>
      </c>
      <c r="T66" s="9" t="s">
        <v>54</v>
      </c>
      <c r="U66" s="9" t="s">
        <v>53</v>
      </c>
      <c r="V66" s="9" t="s">
        <v>53</v>
      </c>
      <c r="W66" s="9" t="s">
        <v>53</v>
      </c>
      <c r="X66" s="9" t="s">
        <v>53</v>
      </c>
      <c r="Y66" s="11" t="s">
        <v>53</v>
      </c>
      <c r="Z66" s="18" t="s">
        <v>53</v>
      </c>
      <c r="AA66" s="8" t="s">
        <v>55</v>
      </c>
      <c r="AB66">
        <f t="shared" ref="AB66:AB97" si="6">COUNTIF(R66:T66, "yes")</f>
        <v>1</v>
      </c>
      <c r="AC66">
        <f t="shared" ref="AC66:AC97" si="7">COUNTIF(U66:W66, "yes")</f>
        <v>3</v>
      </c>
      <c r="AD66">
        <f t="shared" ref="AD66:AD97" si="8">COUNTIF(X66:Z66, "yes")</f>
        <v>3</v>
      </c>
      <c r="AE66" t="s">
        <v>53</v>
      </c>
      <c r="AF66" t="s">
        <v>204</v>
      </c>
      <c r="AH66" t="s">
        <v>54</v>
      </c>
    </row>
    <row r="67" spans="1:34" x14ac:dyDescent="0.35">
      <c r="A67" t="s">
        <v>261</v>
      </c>
      <c r="B67" t="s">
        <v>262</v>
      </c>
      <c r="C67" s="17">
        <v>0.5</v>
      </c>
      <c r="D67">
        <v>2020</v>
      </c>
      <c r="E67" t="s">
        <v>199</v>
      </c>
      <c r="F67" t="s">
        <v>14</v>
      </c>
      <c r="K67" t="s">
        <v>184</v>
      </c>
      <c r="M67" t="s">
        <v>263</v>
      </c>
      <c r="N67" s="1" t="s">
        <v>264</v>
      </c>
      <c r="O67" s="1" t="s">
        <v>265</v>
      </c>
      <c r="P67" s="3" t="s">
        <v>66</v>
      </c>
      <c r="Q67" s="3" t="s">
        <v>209</v>
      </c>
      <c r="R67" s="9" t="s">
        <v>53</v>
      </c>
      <c r="S67" s="9" t="s">
        <v>54</v>
      </c>
      <c r="T67" s="9" t="s">
        <v>54</v>
      </c>
      <c r="U67" s="9" t="s">
        <v>53</v>
      </c>
      <c r="V67" s="9" t="s">
        <v>53</v>
      </c>
      <c r="W67" s="9" t="s">
        <v>53</v>
      </c>
      <c r="X67" s="9" t="s">
        <v>53</v>
      </c>
      <c r="Y67" s="11" t="s">
        <v>53</v>
      </c>
      <c r="Z67" s="18" t="s">
        <v>53</v>
      </c>
      <c r="AA67" s="8" t="s">
        <v>97</v>
      </c>
      <c r="AB67">
        <f t="shared" si="6"/>
        <v>1</v>
      </c>
      <c r="AC67">
        <f t="shared" si="7"/>
        <v>3</v>
      </c>
      <c r="AD67">
        <f t="shared" si="8"/>
        <v>3</v>
      </c>
      <c r="AE67" t="s">
        <v>53</v>
      </c>
      <c r="AF67" t="s">
        <v>204</v>
      </c>
      <c r="AH67" t="s">
        <v>54</v>
      </c>
    </row>
    <row r="68" spans="1:34" x14ac:dyDescent="0.35">
      <c r="A68" t="s">
        <v>298</v>
      </c>
      <c r="B68" t="s">
        <v>299</v>
      </c>
      <c r="C68" s="17" t="s">
        <v>66</v>
      </c>
      <c r="D68">
        <v>2023</v>
      </c>
      <c r="E68" t="s">
        <v>199</v>
      </c>
      <c r="F68" t="s">
        <v>14</v>
      </c>
      <c r="G68" t="s">
        <v>0</v>
      </c>
      <c r="K68" t="s">
        <v>47</v>
      </c>
      <c r="M68" t="s">
        <v>300</v>
      </c>
      <c r="N68" s="1" t="s">
        <v>301</v>
      </c>
      <c r="P68" s="3" t="s">
        <v>302</v>
      </c>
      <c r="Q68" s="3" t="s">
        <v>756</v>
      </c>
      <c r="R68" s="9" t="s">
        <v>53</v>
      </c>
      <c r="S68" s="9" t="s">
        <v>53</v>
      </c>
      <c r="T68" s="9" t="s">
        <v>53</v>
      </c>
      <c r="U68" s="9" t="s">
        <v>53</v>
      </c>
      <c r="V68" s="9" t="s">
        <v>53</v>
      </c>
      <c r="W68" s="9" t="s">
        <v>53</v>
      </c>
      <c r="X68" s="9" t="s">
        <v>53</v>
      </c>
      <c r="Y68" s="9" t="s">
        <v>53</v>
      </c>
      <c r="Z68" s="18" t="s">
        <v>54</v>
      </c>
      <c r="AA68" s="8" t="s">
        <v>82</v>
      </c>
      <c r="AB68">
        <f t="shared" si="6"/>
        <v>3</v>
      </c>
      <c r="AC68">
        <f t="shared" si="7"/>
        <v>3</v>
      </c>
      <c r="AD68">
        <f t="shared" si="8"/>
        <v>2</v>
      </c>
      <c r="AE68" t="s">
        <v>54</v>
      </c>
      <c r="AF68" t="s">
        <v>66</v>
      </c>
      <c r="AH68" t="s">
        <v>54</v>
      </c>
    </row>
    <row r="69" spans="1:34" x14ac:dyDescent="0.35">
      <c r="A69" t="s">
        <v>420</v>
      </c>
      <c r="B69" t="s">
        <v>421</v>
      </c>
      <c r="C69" s="17" t="s">
        <v>100</v>
      </c>
      <c r="D69">
        <v>2019</v>
      </c>
      <c r="E69" t="s">
        <v>199</v>
      </c>
      <c r="F69" t="s">
        <v>0</v>
      </c>
      <c r="G69" t="s">
        <v>10</v>
      </c>
      <c r="K69" t="s">
        <v>60</v>
      </c>
      <c r="M69" t="s">
        <v>422</v>
      </c>
      <c r="N69" s="30" t="s">
        <v>932</v>
      </c>
      <c r="P69" s="21" t="s">
        <v>643</v>
      </c>
      <c r="Q69" s="3" t="s">
        <v>757</v>
      </c>
      <c r="R69" s="9" t="s">
        <v>53</v>
      </c>
      <c r="S69" s="9" t="s">
        <v>53</v>
      </c>
      <c r="T69" s="9" t="s">
        <v>54</v>
      </c>
      <c r="U69" s="9" t="s">
        <v>53</v>
      </c>
      <c r="V69" s="9" t="s">
        <v>53</v>
      </c>
      <c r="W69" s="9" t="s">
        <v>53</v>
      </c>
      <c r="X69" s="9" t="s">
        <v>53</v>
      </c>
      <c r="Y69" s="9" t="s">
        <v>53</v>
      </c>
      <c r="Z69" s="18" t="s">
        <v>54</v>
      </c>
      <c r="AA69" s="8" t="s">
        <v>97</v>
      </c>
      <c r="AB69">
        <f t="shared" si="6"/>
        <v>2</v>
      </c>
      <c r="AC69">
        <f t="shared" si="7"/>
        <v>3</v>
      </c>
      <c r="AD69">
        <f t="shared" si="8"/>
        <v>2</v>
      </c>
      <c r="AE69" t="s">
        <v>54</v>
      </c>
      <c r="AF69" t="s">
        <v>66</v>
      </c>
      <c r="AH69" t="s">
        <v>54</v>
      </c>
    </row>
    <row r="70" spans="1:34" x14ac:dyDescent="0.35">
      <c r="A70" t="s">
        <v>788</v>
      </c>
      <c r="B70" t="s">
        <v>789</v>
      </c>
      <c r="C70" s="17">
        <v>0.2</v>
      </c>
      <c r="D70">
        <v>2025</v>
      </c>
      <c r="F70" t="s">
        <v>8</v>
      </c>
      <c r="K70" t="s">
        <v>184</v>
      </c>
      <c r="M70" t="s">
        <v>795</v>
      </c>
      <c r="N70" s="1" t="s">
        <v>797</v>
      </c>
      <c r="O70" s="1" t="s">
        <v>794</v>
      </c>
      <c r="P70" s="3" t="s">
        <v>796</v>
      </c>
      <c r="Q70" s="3" t="s">
        <v>798</v>
      </c>
      <c r="R70" s="9" t="s">
        <v>53</v>
      </c>
      <c r="S70" s="9" t="s">
        <v>53</v>
      </c>
      <c r="T70" s="9" t="s">
        <v>53</v>
      </c>
      <c r="U70" s="9" t="s">
        <v>53</v>
      </c>
      <c r="V70" s="9" t="s">
        <v>54</v>
      </c>
      <c r="W70" s="9" t="s">
        <v>53</v>
      </c>
      <c r="X70" s="9" t="s">
        <v>53</v>
      </c>
      <c r="Y70" s="9" t="s">
        <v>53</v>
      </c>
      <c r="Z70" s="18" t="s">
        <v>54</v>
      </c>
      <c r="AA70" s="8"/>
      <c r="AB70">
        <f t="shared" si="6"/>
        <v>3</v>
      </c>
      <c r="AC70">
        <f t="shared" si="7"/>
        <v>2</v>
      </c>
      <c r="AD70">
        <f t="shared" si="8"/>
        <v>2</v>
      </c>
      <c r="AE70" t="s">
        <v>54</v>
      </c>
      <c r="AF70" t="s">
        <v>66</v>
      </c>
    </row>
    <row r="71" spans="1:34" x14ac:dyDescent="0.35">
      <c r="A71" t="s">
        <v>285</v>
      </c>
      <c r="B71" t="s">
        <v>286</v>
      </c>
      <c r="C71" s="17" t="s">
        <v>45</v>
      </c>
      <c r="D71">
        <v>2022</v>
      </c>
      <c r="E71" t="s">
        <v>287</v>
      </c>
      <c r="F71" t="s">
        <v>0</v>
      </c>
      <c r="G71" t="s">
        <v>15</v>
      </c>
      <c r="K71" t="s">
        <v>66</v>
      </c>
      <c r="M71" t="s">
        <v>163</v>
      </c>
      <c r="N71" s="1" t="s">
        <v>288</v>
      </c>
      <c r="O71" s="1" t="s">
        <v>289</v>
      </c>
      <c r="P71" s="3" t="s">
        <v>290</v>
      </c>
      <c r="Q71" s="3" t="s">
        <v>758</v>
      </c>
      <c r="R71" s="9" t="s">
        <v>53</v>
      </c>
      <c r="S71" s="9" t="s">
        <v>53</v>
      </c>
      <c r="T71" s="9" t="s">
        <v>54</v>
      </c>
      <c r="U71" s="9" t="s">
        <v>53</v>
      </c>
      <c r="V71" s="9" t="s">
        <v>53</v>
      </c>
      <c r="W71" s="9" t="s">
        <v>53</v>
      </c>
      <c r="X71" s="9" t="s">
        <v>53</v>
      </c>
      <c r="Y71" s="10" t="s">
        <v>54</v>
      </c>
      <c r="Z71" s="18" t="s">
        <v>54</v>
      </c>
      <c r="AA71" s="8" t="s">
        <v>71</v>
      </c>
      <c r="AB71">
        <f t="shared" si="6"/>
        <v>2</v>
      </c>
      <c r="AC71">
        <f t="shared" si="7"/>
        <v>3</v>
      </c>
      <c r="AD71">
        <f t="shared" si="8"/>
        <v>1</v>
      </c>
      <c r="AE71" t="s">
        <v>54</v>
      </c>
      <c r="AF71" t="s">
        <v>66</v>
      </c>
      <c r="AH71" t="s">
        <v>54</v>
      </c>
    </row>
    <row r="72" spans="1:34" x14ac:dyDescent="0.35">
      <c r="A72" t="s">
        <v>309</v>
      </c>
      <c r="B72" t="s">
        <v>310</v>
      </c>
      <c r="C72" s="17" t="s">
        <v>311</v>
      </c>
      <c r="D72" t="s">
        <v>66</v>
      </c>
      <c r="F72" t="s">
        <v>11</v>
      </c>
      <c r="K72" t="s">
        <v>312</v>
      </c>
      <c r="M72" t="s">
        <v>313</v>
      </c>
      <c r="N72" s="1" t="s">
        <v>314</v>
      </c>
      <c r="O72" s="1" t="s">
        <v>315</v>
      </c>
      <c r="P72" s="3" t="s">
        <v>66</v>
      </c>
      <c r="Q72" s="3" t="s">
        <v>759</v>
      </c>
      <c r="R72" s="9" t="s">
        <v>53</v>
      </c>
      <c r="S72" s="9" t="s">
        <v>54</v>
      </c>
      <c r="T72" s="9" t="s">
        <v>54</v>
      </c>
      <c r="U72" s="9" t="s">
        <v>53</v>
      </c>
      <c r="V72" s="9" t="s">
        <v>53</v>
      </c>
      <c r="W72" s="9" t="s">
        <v>53</v>
      </c>
      <c r="X72" s="9" t="s">
        <v>53</v>
      </c>
      <c r="Y72" s="9" t="s">
        <v>53</v>
      </c>
      <c r="Z72" s="18" t="s">
        <v>54</v>
      </c>
      <c r="AA72" s="8" t="s">
        <v>97</v>
      </c>
      <c r="AB72">
        <f t="shared" si="6"/>
        <v>1</v>
      </c>
      <c r="AC72">
        <f t="shared" si="7"/>
        <v>3</v>
      </c>
      <c r="AD72">
        <f t="shared" si="8"/>
        <v>2</v>
      </c>
      <c r="AE72" t="s">
        <v>54</v>
      </c>
      <c r="AF72" t="s">
        <v>66</v>
      </c>
      <c r="AH72" t="s">
        <v>54</v>
      </c>
    </row>
    <row r="73" spans="1:34" x14ac:dyDescent="0.35">
      <c r="A73" t="s">
        <v>691</v>
      </c>
      <c r="B73" t="s">
        <v>683</v>
      </c>
      <c r="C73" s="17" t="s">
        <v>66</v>
      </c>
      <c r="D73" t="s">
        <v>66</v>
      </c>
      <c r="F73" t="s">
        <v>19</v>
      </c>
      <c r="G73" t="s">
        <v>9</v>
      </c>
      <c r="K73" t="s">
        <v>66</v>
      </c>
      <c r="L73" t="s">
        <v>693</v>
      </c>
      <c r="M73" t="s">
        <v>687</v>
      </c>
      <c r="N73" s="1" t="s">
        <v>684</v>
      </c>
      <c r="O73" s="1" t="s">
        <v>689</v>
      </c>
      <c r="P73" s="3" t="s">
        <v>322</v>
      </c>
      <c r="Q73" s="3" t="s">
        <v>694</v>
      </c>
      <c r="R73" s="9" t="s">
        <v>53</v>
      </c>
      <c r="S73" s="9" t="s">
        <v>53</v>
      </c>
      <c r="T73" s="9" t="s">
        <v>53</v>
      </c>
      <c r="U73" s="9" t="s">
        <v>53</v>
      </c>
      <c r="V73" s="9" t="s">
        <v>53</v>
      </c>
      <c r="W73" s="9" t="s">
        <v>53</v>
      </c>
      <c r="X73" s="9" t="s">
        <v>53</v>
      </c>
      <c r="Y73" s="9" t="s">
        <v>53</v>
      </c>
      <c r="Z73" s="18" t="s">
        <v>53</v>
      </c>
      <c r="AA73" s="8"/>
      <c r="AB73">
        <f t="shared" si="6"/>
        <v>3</v>
      </c>
      <c r="AC73">
        <f t="shared" si="7"/>
        <v>3</v>
      </c>
      <c r="AD73">
        <f t="shared" si="8"/>
        <v>3</v>
      </c>
      <c r="AE73" t="s">
        <v>53</v>
      </c>
      <c r="AF73" t="s">
        <v>695</v>
      </c>
      <c r="AH73" t="s">
        <v>54</v>
      </c>
    </row>
    <row r="74" spans="1:34" x14ac:dyDescent="0.35">
      <c r="A74" t="s">
        <v>690</v>
      </c>
      <c r="B74" t="s">
        <v>682</v>
      </c>
      <c r="C74" s="17" t="s">
        <v>66</v>
      </c>
      <c r="D74" t="s">
        <v>66</v>
      </c>
      <c r="F74" t="s">
        <v>19</v>
      </c>
      <c r="G74" t="s">
        <v>9</v>
      </c>
      <c r="K74" t="s">
        <v>66</v>
      </c>
      <c r="L74" t="s">
        <v>692</v>
      </c>
      <c r="M74" t="s">
        <v>686</v>
      </c>
      <c r="N74" s="1" t="s">
        <v>685</v>
      </c>
      <c r="O74" s="1" t="s">
        <v>688</v>
      </c>
      <c r="P74" s="3" t="s">
        <v>322</v>
      </c>
      <c r="Q74" s="3" t="s">
        <v>694</v>
      </c>
      <c r="R74" s="9" t="s">
        <v>53</v>
      </c>
      <c r="S74" s="9" t="s">
        <v>53</v>
      </c>
      <c r="T74" s="9" t="s">
        <v>53</v>
      </c>
      <c r="U74" s="9" t="s">
        <v>53</v>
      </c>
      <c r="V74" s="9" t="s">
        <v>53</v>
      </c>
      <c r="W74" s="9" t="s">
        <v>53</v>
      </c>
      <c r="X74" s="9" t="s">
        <v>53</v>
      </c>
      <c r="Y74" s="9" t="s">
        <v>53</v>
      </c>
      <c r="Z74" s="18" t="s">
        <v>53</v>
      </c>
      <c r="AA74" s="8"/>
      <c r="AB74">
        <f t="shared" si="6"/>
        <v>3</v>
      </c>
      <c r="AC74">
        <f t="shared" si="7"/>
        <v>3</v>
      </c>
      <c r="AD74">
        <f t="shared" si="8"/>
        <v>3</v>
      </c>
      <c r="AE74" t="s">
        <v>53</v>
      </c>
      <c r="AF74" t="s">
        <v>695</v>
      </c>
      <c r="AH74" t="s">
        <v>54</v>
      </c>
    </row>
    <row r="75" spans="1:34" x14ac:dyDescent="0.35">
      <c r="A75" t="s">
        <v>606</v>
      </c>
      <c r="B75" s="6" t="s">
        <v>607</v>
      </c>
      <c r="C75" s="17">
        <v>1.03</v>
      </c>
      <c r="D75">
        <v>2013</v>
      </c>
      <c r="F75" t="s">
        <v>4</v>
      </c>
      <c r="K75" t="s">
        <v>66</v>
      </c>
      <c r="M75" t="s">
        <v>608</v>
      </c>
      <c r="N75" s="1" t="s">
        <v>598</v>
      </c>
      <c r="O75" s="1" t="s">
        <v>609</v>
      </c>
      <c r="P75" s="3" t="s">
        <v>66</v>
      </c>
      <c r="Q75" s="3" t="s">
        <v>600</v>
      </c>
      <c r="R75" s="9" t="s">
        <v>53</v>
      </c>
      <c r="S75" s="9" t="s">
        <v>54</v>
      </c>
      <c r="T75" s="9" t="s">
        <v>54</v>
      </c>
      <c r="U75" s="9" t="s">
        <v>53</v>
      </c>
      <c r="V75" s="9" t="s">
        <v>53</v>
      </c>
      <c r="W75" s="9" t="s">
        <v>54</v>
      </c>
      <c r="X75" s="9" t="s">
        <v>54</v>
      </c>
      <c r="Y75" s="9" t="s">
        <v>53</v>
      </c>
      <c r="Z75" s="18" t="s">
        <v>54</v>
      </c>
      <c r="AA75" s="8" t="s">
        <v>97</v>
      </c>
      <c r="AB75">
        <f t="shared" si="6"/>
        <v>1</v>
      </c>
      <c r="AC75">
        <f t="shared" si="7"/>
        <v>2</v>
      </c>
      <c r="AD75">
        <f t="shared" si="8"/>
        <v>1</v>
      </c>
      <c r="AE75" t="s">
        <v>54</v>
      </c>
      <c r="AF75" t="s">
        <v>66</v>
      </c>
      <c r="AH75" t="s">
        <v>54</v>
      </c>
    </row>
    <row r="76" spans="1:34" x14ac:dyDescent="0.35">
      <c r="A76" s="7" t="s">
        <v>303</v>
      </c>
      <c r="B76" t="s">
        <v>304</v>
      </c>
      <c r="C76" s="17">
        <v>2</v>
      </c>
      <c r="D76">
        <v>2021</v>
      </c>
      <c r="E76" t="s">
        <v>219</v>
      </c>
      <c r="F76" t="s">
        <v>4</v>
      </c>
      <c r="K76" t="s">
        <v>305</v>
      </c>
      <c r="M76" t="s">
        <v>306</v>
      </c>
      <c r="N76" t="s">
        <v>66</v>
      </c>
      <c r="O76" s="1" t="s">
        <v>307</v>
      </c>
      <c r="P76" s="3" t="s">
        <v>66</v>
      </c>
      <c r="Q76" s="20" t="s">
        <v>308</v>
      </c>
      <c r="R76" s="10" t="s">
        <v>63</v>
      </c>
      <c r="S76" s="9" t="s">
        <v>63</v>
      </c>
      <c r="T76" s="9" t="s">
        <v>53</v>
      </c>
      <c r="U76" s="9" t="s">
        <v>53</v>
      </c>
      <c r="V76" s="9" t="s">
        <v>53</v>
      </c>
      <c r="W76" s="9" t="s">
        <v>53</v>
      </c>
      <c r="X76" s="9" t="s">
        <v>54</v>
      </c>
      <c r="Y76" s="9" t="s">
        <v>54</v>
      </c>
      <c r="Z76" s="18" t="s">
        <v>54</v>
      </c>
      <c r="AA76" s="8" t="s">
        <v>91</v>
      </c>
      <c r="AB76">
        <f t="shared" si="6"/>
        <v>1</v>
      </c>
      <c r="AC76">
        <f t="shared" si="7"/>
        <v>3</v>
      </c>
      <c r="AD76">
        <f t="shared" si="8"/>
        <v>0</v>
      </c>
      <c r="AE76" t="s">
        <v>54</v>
      </c>
      <c r="AF76" t="s">
        <v>66</v>
      </c>
      <c r="AH76" t="s">
        <v>54</v>
      </c>
    </row>
    <row r="77" spans="1:34" x14ac:dyDescent="0.35">
      <c r="A77" t="s">
        <v>323</v>
      </c>
      <c r="B77" s="6" t="s">
        <v>324</v>
      </c>
      <c r="C77" s="17">
        <v>1</v>
      </c>
      <c r="D77">
        <v>2006</v>
      </c>
      <c r="F77" t="s">
        <v>11</v>
      </c>
      <c r="K77" t="s">
        <v>325</v>
      </c>
      <c r="L77" t="s">
        <v>326</v>
      </c>
      <c r="M77" t="s">
        <v>327</v>
      </c>
      <c r="N77" t="s">
        <v>66</v>
      </c>
      <c r="O77" s="1" t="s">
        <v>328</v>
      </c>
      <c r="P77" s="3" t="s">
        <v>66</v>
      </c>
      <c r="Q77" s="3" t="s">
        <v>760</v>
      </c>
      <c r="R77" s="9" t="s">
        <v>53</v>
      </c>
      <c r="S77" s="9" t="s">
        <v>54</v>
      </c>
      <c r="T77" s="9" t="s">
        <v>54</v>
      </c>
      <c r="U77" s="9" t="s">
        <v>53</v>
      </c>
      <c r="V77" s="9" t="s">
        <v>53</v>
      </c>
      <c r="W77" s="9" t="s">
        <v>54</v>
      </c>
      <c r="X77" s="9" t="s">
        <v>53</v>
      </c>
      <c r="Y77" s="9" t="s">
        <v>53</v>
      </c>
      <c r="Z77" s="18" t="s">
        <v>54</v>
      </c>
      <c r="AA77" s="8" t="s">
        <v>82</v>
      </c>
      <c r="AB77">
        <f t="shared" si="6"/>
        <v>1</v>
      </c>
      <c r="AC77">
        <f t="shared" si="7"/>
        <v>2</v>
      </c>
      <c r="AD77">
        <f t="shared" si="8"/>
        <v>2</v>
      </c>
      <c r="AE77" t="s">
        <v>54</v>
      </c>
      <c r="AF77" t="s">
        <v>66</v>
      </c>
      <c r="AH77" t="s">
        <v>54</v>
      </c>
    </row>
    <row r="78" spans="1:34" x14ac:dyDescent="0.35">
      <c r="A78" t="s">
        <v>632</v>
      </c>
      <c r="B78" s="6" t="s">
        <v>633</v>
      </c>
      <c r="C78" s="17" t="s">
        <v>66</v>
      </c>
      <c r="D78">
        <v>2022</v>
      </c>
      <c r="E78" t="s">
        <v>466</v>
      </c>
      <c r="F78" t="s">
        <v>5</v>
      </c>
      <c r="G78" t="s">
        <v>4</v>
      </c>
      <c r="K78" t="s">
        <v>47</v>
      </c>
      <c r="M78" t="s">
        <v>634</v>
      </c>
      <c r="N78" s="1" t="s">
        <v>66</v>
      </c>
      <c r="O78" s="1" t="s">
        <v>635</v>
      </c>
      <c r="P78" s="21" t="s">
        <v>936</v>
      </c>
      <c r="Q78" s="3" t="s">
        <v>636</v>
      </c>
      <c r="R78" s="9" t="s">
        <v>53</v>
      </c>
      <c r="S78" s="9" t="s">
        <v>53</v>
      </c>
      <c r="T78" s="9" t="s">
        <v>53</v>
      </c>
      <c r="U78" s="9" t="s">
        <v>54</v>
      </c>
      <c r="V78" s="9" t="s">
        <v>53</v>
      </c>
      <c r="W78" s="9" t="s">
        <v>54</v>
      </c>
      <c r="X78" s="9" t="s">
        <v>53</v>
      </c>
      <c r="Y78" s="9" t="s">
        <v>54</v>
      </c>
      <c r="Z78" s="18" t="s">
        <v>54</v>
      </c>
      <c r="AA78" s="8" t="s">
        <v>91</v>
      </c>
      <c r="AB78">
        <f t="shared" si="6"/>
        <v>3</v>
      </c>
      <c r="AC78">
        <f t="shared" si="7"/>
        <v>1</v>
      </c>
      <c r="AD78">
        <f t="shared" si="8"/>
        <v>1</v>
      </c>
      <c r="AE78" t="s">
        <v>54</v>
      </c>
      <c r="AF78" t="s">
        <v>66</v>
      </c>
      <c r="AH78" t="s">
        <v>54</v>
      </c>
    </row>
    <row r="79" spans="1:34" x14ac:dyDescent="0.35">
      <c r="A79" t="s">
        <v>349</v>
      </c>
      <c r="B79" t="s">
        <v>350</v>
      </c>
      <c r="C79" s="17" t="s">
        <v>351</v>
      </c>
      <c r="D79">
        <v>2020</v>
      </c>
      <c r="E79" t="s">
        <v>199</v>
      </c>
      <c r="F79" t="s">
        <v>8</v>
      </c>
      <c r="K79" t="s">
        <v>47</v>
      </c>
      <c r="M79" t="s">
        <v>352</v>
      </c>
      <c r="N79" s="1" t="s">
        <v>353</v>
      </c>
      <c r="O79" s="1" t="s">
        <v>353</v>
      </c>
      <c r="P79" s="3" t="s">
        <v>354</v>
      </c>
      <c r="Q79" s="3" t="s">
        <v>761</v>
      </c>
      <c r="R79" s="9" t="s">
        <v>53</v>
      </c>
      <c r="S79" s="9" t="s">
        <v>54</v>
      </c>
      <c r="T79" s="9" t="s">
        <v>54</v>
      </c>
      <c r="U79" s="9" t="s">
        <v>53</v>
      </c>
      <c r="V79" s="9" t="s">
        <v>53</v>
      </c>
      <c r="W79" s="9" t="s">
        <v>53</v>
      </c>
      <c r="X79" s="9" t="s">
        <v>53</v>
      </c>
      <c r="Y79" s="9" t="s">
        <v>53</v>
      </c>
      <c r="Z79" s="18" t="s">
        <v>53</v>
      </c>
      <c r="AA79" s="8" t="s">
        <v>91</v>
      </c>
      <c r="AB79">
        <f t="shared" si="6"/>
        <v>1</v>
      </c>
      <c r="AC79">
        <f t="shared" si="7"/>
        <v>3</v>
      </c>
      <c r="AD79">
        <f t="shared" si="8"/>
        <v>3</v>
      </c>
      <c r="AE79" t="s">
        <v>54</v>
      </c>
      <c r="AF79" t="s">
        <v>66</v>
      </c>
      <c r="AH79" t="s">
        <v>54</v>
      </c>
    </row>
    <row r="80" spans="1:34" x14ac:dyDescent="0.35">
      <c r="A80" t="s">
        <v>344</v>
      </c>
      <c r="B80" t="s">
        <v>345</v>
      </c>
      <c r="C80" s="17" t="s">
        <v>116</v>
      </c>
      <c r="D80">
        <v>2023</v>
      </c>
      <c r="E80" t="s">
        <v>339</v>
      </c>
      <c r="F80" t="s">
        <v>6</v>
      </c>
      <c r="K80" t="s">
        <v>47</v>
      </c>
      <c r="M80" t="s">
        <v>346</v>
      </c>
      <c r="N80" s="1" t="s">
        <v>347</v>
      </c>
      <c r="O80" s="1" t="s">
        <v>348</v>
      </c>
      <c r="P80" s="3" t="s">
        <v>126</v>
      </c>
      <c r="Q80" s="3" t="s">
        <v>762</v>
      </c>
      <c r="R80" s="9" t="s">
        <v>53</v>
      </c>
      <c r="S80" s="9" t="s">
        <v>54</v>
      </c>
      <c r="T80" s="9" t="s">
        <v>53</v>
      </c>
      <c r="U80" s="9" t="s">
        <v>53</v>
      </c>
      <c r="V80" s="9" t="s">
        <v>53</v>
      </c>
      <c r="W80" s="9" t="s">
        <v>53</v>
      </c>
      <c r="X80" s="9" t="s">
        <v>53</v>
      </c>
      <c r="Y80" s="9" t="s">
        <v>53</v>
      </c>
      <c r="Z80" s="18" t="s">
        <v>54</v>
      </c>
      <c r="AA80" s="8" t="s">
        <v>71</v>
      </c>
      <c r="AB80">
        <f t="shared" si="6"/>
        <v>2</v>
      </c>
      <c r="AC80">
        <f t="shared" si="7"/>
        <v>3</v>
      </c>
      <c r="AD80">
        <f t="shared" si="8"/>
        <v>2</v>
      </c>
      <c r="AE80" t="s">
        <v>54</v>
      </c>
      <c r="AF80" t="s">
        <v>66</v>
      </c>
      <c r="AH80" t="s">
        <v>54</v>
      </c>
    </row>
    <row r="81" spans="1:34" x14ac:dyDescent="0.35">
      <c r="A81" t="s">
        <v>336</v>
      </c>
      <c r="B81" t="s">
        <v>337</v>
      </c>
      <c r="C81" s="17" t="s">
        <v>338</v>
      </c>
      <c r="D81">
        <v>2022</v>
      </c>
      <c r="E81" t="s">
        <v>339</v>
      </c>
      <c r="F81" t="s">
        <v>6</v>
      </c>
      <c r="K81" t="s">
        <v>340</v>
      </c>
      <c r="M81" t="s">
        <v>341</v>
      </c>
      <c r="N81" s="1" t="s">
        <v>342</v>
      </c>
      <c r="O81" s="1" t="s">
        <v>343</v>
      </c>
      <c r="P81" s="3" t="s">
        <v>66</v>
      </c>
      <c r="Q81" s="3" t="s">
        <v>727</v>
      </c>
      <c r="R81" s="9" t="s">
        <v>53</v>
      </c>
      <c r="S81" s="9" t="s">
        <v>54</v>
      </c>
      <c r="T81" s="9" t="s">
        <v>54</v>
      </c>
      <c r="U81" s="9" t="s">
        <v>53</v>
      </c>
      <c r="V81" s="9" t="s">
        <v>53</v>
      </c>
      <c r="W81" s="9" t="s">
        <v>53</v>
      </c>
      <c r="X81" s="9" t="s">
        <v>53</v>
      </c>
      <c r="Y81" s="9" t="s">
        <v>53</v>
      </c>
      <c r="Z81" s="18" t="s">
        <v>54</v>
      </c>
      <c r="AA81" s="8" t="s">
        <v>82</v>
      </c>
      <c r="AB81">
        <f t="shared" si="6"/>
        <v>1</v>
      </c>
      <c r="AC81">
        <f t="shared" si="7"/>
        <v>3</v>
      </c>
      <c r="AD81">
        <f t="shared" si="8"/>
        <v>2</v>
      </c>
      <c r="AE81" t="s">
        <v>54</v>
      </c>
      <c r="AF81" t="s">
        <v>66</v>
      </c>
      <c r="AH81" t="s">
        <v>54</v>
      </c>
    </row>
    <row r="82" spans="1:34" x14ac:dyDescent="0.35">
      <c r="A82" t="s">
        <v>891</v>
      </c>
      <c r="B82" t="s">
        <v>66</v>
      </c>
      <c r="C82" s="17" t="s">
        <v>66</v>
      </c>
      <c r="D82">
        <v>2010</v>
      </c>
      <c r="F82" t="s">
        <v>6</v>
      </c>
      <c r="G82" t="s">
        <v>10</v>
      </c>
      <c r="K82" t="s">
        <v>892</v>
      </c>
      <c r="M82" t="s">
        <v>893</v>
      </c>
      <c r="N82" t="s">
        <v>66</v>
      </c>
      <c r="O82" s="4" t="s">
        <v>894</v>
      </c>
      <c r="P82" s="3" t="s">
        <v>66</v>
      </c>
      <c r="Q82" s="3" t="s">
        <v>895</v>
      </c>
      <c r="R82" s="9" t="s">
        <v>53</v>
      </c>
      <c r="S82" s="9" t="s">
        <v>54</v>
      </c>
      <c r="T82" s="9" t="s">
        <v>54</v>
      </c>
      <c r="U82" s="9" t="s">
        <v>53</v>
      </c>
      <c r="V82" s="9" t="s">
        <v>54</v>
      </c>
      <c r="W82" s="9" t="s">
        <v>54</v>
      </c>
      <c r="X82" s="9" t="s">
        <v>54</v>
      </c>
      <c r="Y82" s="9" t="s">
        <v>54</v>
      </c>
      <c r="Z82" s="9" t="s">
        <v>54</v>
      </c>
      <c r="AB82">
        <f t="shared" si="6"/>
        <v>1</v>
      </c>
      <c r="AC82">
        <f t="shared" si="7"/>
        <v>1</v>
      </c>
      <c r="AD82">
        <f t="shared" si="8"/>
        <v>0</v>
      </c>
      <c r="AE82" t="s">
        <v>54</v>
      </c>
    </row>
    <row r="83" spans="1:34" x14ac:dyDescent="0.35">
      <c r="A83" s="5" t="s">
        <v>658</v>
      </c>
      <c r="B83" t="s">
        <v>659</v>
      </c>
      <c r="C83" s="17" t="s">
        <v>100</v>
      </c>
      <c r="D83">
        <v>2021</v>
      </c>
      <c r="F83" t="s">
        <v>5</v>
      </c>
      <c r="G83" t="s">
        <v>4</v>
      </c>
      <c r="K83" t="s">
        <v>47</v>
      </c>
      <c r="M83" t="s">
        <v>680</v>
      </c>
      <c r="N83" s="1" t="s">
        <v>660</v>
      </c>
      <c r="O83" s="1" t="s">
        <v>661</v>
      </c>
      <c r="P83" s="3" t="s">
        <v>126</v>
      </c>
      <c r="Q83" s="3" t="s">
        <v>763</v>
      </c>
      <c r="R83" s="9" t="s">
        <v>53</v>
      </c>
      <c r="S83" s="9" t="s">
        <v>53</v>
      </c>
      <c r="T83" s="9" t="s">
        <v>53</v>
      </c>
      <c r="U83" s="9" t="s">
        <v>53</v>
      </c>
      <c r="V83" s="9" t="s">
        <v>53</v>
      </c>
      <c r="W83" s="9" t="s">
        <v>53</v>
      </c>
      <c r="X83" s="9" t="s">
        <v>53</v>
      </c>
      <c r="Y83" s="9" t="s">
        <v>53</v>
      </c>
      <c r="Z83" s="18" t="s">
        <v>53</v>
      </c>
      <c r="AA83" s="8"/>
      <c r="AB83">
        <f t="shared" si="6"/>
        <v>3</v>
      </c>
      <c r="AC83">
        <f t="shared" si="7"/>
        <v>3</v>
      </c>
      <c r="AD83">
        <f t="shared" si="8"/>
        <v>3</v>
      </c>
      <c r="AE83" t="s">
        <v>54</v>
      </c>
      <c r="AF83" t="s">
        <v>66</v>
      </c>
      <c r="AH83" t="s">
        <v>54</v>
      </c>
    </row>
    <row r="84" spans="1:34" x14ac:dyDescent="0.35">
      <c r="A84" t="s">
        <v>799</v>
      </c>
      <c r="B84" t="s">
        <v>799</v>
      </c>
      <c r="C84" s="17">
        <v>1.1000000000000001</v>
      </c>
      <c r="D84">
        <v>2023</v>
      </c>
      <c r="F84" t="s">
        <v>7</v>
      </c>
      <c r="K84" t="s">
        <v>800</v>
      </c>
      <c r="L84" t="s">
        <v>800</v>
      </c>
      <c r="N84" s="22" t="s">
        <v>801</v>
      </c>
      <c r="O84" s="1" t="s">
        <v>802</v>
      </c>
      <c r="Q84" s="20"/>
      <c r="R84" s="9" t="s">
        <v>53</v>
      </c>
      <c r="S84" s="9" t="s">
        <v>54</v>
      </c>
      <c r="T84" s="9" t="s">
        <v>54</v>
      </c>
      <c r="U84" s="9" t="s">
        <v>54</v>
      </c>
      <c r="V84" s="9" t="s">
        <v>53</v>
      </c>
      <c r="W84" s="9" t="s">
        <v>53</v>
      </c>
      <c r="X84" s="9" t="s">
        <v>53</v>
      </c>
      <c r="Y84" s="9" t="s">
        <v>53</v>
      </c>
      <c r="Z84" s="18" t="s">
        <v>53</v>
      </c>
      <c r="AA84" s="8"/>
      <c r="AB84">
        <f t="shared" si="6"/>
        <v>1</v>
      </c>
      <c r="AC84">
        <f t="shared" si="7"/>
        <v>2</v>
      </c>
      <c r="AD84">
        <f t="shared" si="8"/>
        <v>3</v>
      </c>
      <c r="AE84" t="s">
        <v>54</v>
      </c>
      <c r="AF84" t="s">
        <v>66</v>
      </c>
    </row>
    <row r="85" spans="1:34" x14ac:dyDescent="0.35">
      <c r="A85" t="s">
        <v>637</v>
      </c>
      <c r="B85" s="6"/>
      <c r="C85" s="17" t="s">
        <v>66</v>
      </c>
      <c r="D85">
        <v>2020</v>
      </c>
      <c r="E85" t="s">
        <v>492</v>
      </c>
      <c r="F85" t="s">
        <v>0</v>
      </c>
      <c r="K85" t="s">
        <v>638</v>
      </c>
      <c r="M85" t="s">
        <v>639</v>
      </c>
      <c r="N85" t="s">
        <v>66</v>
      </c>
      <c r="O85" s="1" t="s">
        <v>640</v>
      </c>
      <c r="P85" s="3" t="s">
        <v>66</v>
      </c>
      <c r="Q85" s="3" t="s">
        <v>66</v>
      </c>
      <c r="R85" s="9" t="s">
        <v>54</v>
      </c>
      <c r="S85" s="9" t="s">
        <v>54</v>
      </c>
      <c r="T85" s="9" t="s">
        <v>54</v>
      </c>
      <c r="U85" s="9" t="s">
        <v>53</v>
      </c>
      <c r="V85" s="9" t="s">
        <v>53</v>
      </c>
      <c r="W85" s="9" t="s">
        <v>54</v>
      </c>
      <c r="X85" s="9" t="s">
        <v>54</v>
      </c>
      <c r="Y85" s="9" t="s">
        <v>54</v>
      </c>
      <c r="Z85" s="18" t="s">
        <v>54</v>
      </c>
      <c r="AA85" s="8" t="s">
        <v>97</v>
      </c>
      <c r="AB85">
        <f t="shared" si="6"/>
        <v>0</v>
      </c>
      <c r="AC85">
        <f t="shared" si="7"/>
        <v>2</v>
      </c>
      <c r="AD85">
        <f t="shared" si="8"/>
        <v>0</v>
      </c>
      <c r="AE85" t="s">
        <v>54</v>
      </c>
      <c r="AF85" t="s">
        <v>66</v>
      </c>
      <c r="AH85" t="s">
        <v>54</v>
      </c>
    </row>
    <row r="86" spans="1:34" x14ac:dyDescent="0.35">
      <c r="A86" t="s">
        <v>835</v>
      </c>
      <c r="B86" t="s">
        <v>836</v>
      </c>
      <c r="C86" s="17" t="s">
        <v>66</v>
      </c>
      <c r="D86">
        <v>2019</v>
      </c>
      <c r="F86" t="s">
        <v>11</v>
      </c>
      <c r="G86" t="s">
        <v>2</v>
      </c>
      <c r="K86" t="s">
        <v>66</v>
      </c>
      <c r="M86" t="s">
        <v>839</v>
      </c>
      <c r="O86" s="1" t="s">
        <v>840</v>
      </c>
      <c r="P86" s="3" t="s">
        <v>66</v>
      </c>
      <c r="Q86" s="3" t="s">
        <v>66</v>
      </c>
      <c r="R86" s="9" t="s">
        <v>54</v>
      </c>
      <c r="S86" s="9" t="s">
        <v>54</v>
      </c>
      <c r="T86" s="9" t="s">
        <v>54</v>
      </c>
      <c r="U86" s="9" t="s">
        <v>53</v>
      </c>
      <c r="V86" s="9" t="s">
        <v>54</v>
      </c>
      <c r="W86" s="9" t="s">
        <v>54</v>
      </c>
      <c r="X86" s="9" t="s">
        <v>53</v>
      </c>
      <c r="Y86" s="9" t="s">
        <v>54</v>
      </c>
      <c r="Z86" s="18" t="s">
        <v>54</v>
      </c>
      <c r="AA86" s="8"/>
      <c r="AB86">
        <f t="shared" si="6"/>
        <v>0</v>
      </c>
      <c r="AC86">
        <f t="shared" si="7"/>
        <v>1</v>
      </c>
      <c r="AD86">
        <f t="shared" si="8"/>
        <v>1</v>
      </c>
      <c r="AE86" t="s">
        <v>54</v>
      </c>
      <c r="AF86" t="s">
        <v>66</v>
      </c>
      <c r="AH86" t="s">
        <v>54</v>
      </c>
    </row>
    <row r="87" spans="1:34" x14ac:dyDescent="0.35">
      <c r="A87" t="s">
        <v>837</v>
      </c>
      <c r="B87" t="s">
        <v>834</v>
      </c>
      <c r="C87" s="17" t="s">
        <v>66</v>
      </c>
      <c r="D87">
        <v>2019</v>
      </c>
      <c r="F87" t="s">
        <v>11</v>
      </c>
      <c r="G87" t="s">
        <v>2</v>
      </c>
      <c r="K87" t="s">
        <v>66</v>
      </c>
      <c r="M87" t="s">
        <v>838</v>
      </c>
      <c r="O87" s="1" t="s">
        <v>840</v>
      </c>
      <c r="P87" s="3" t="s">
        <v>66</v>
      </c>
      <c r="Q87" s="3" t="s">
        <v>66</v>
      </c>
      <c r="R87" s="9" t="s">
        <v>54</v>
      </c>
      <c r="S87" s="9" t="s">
        <v>54</v>
      </c>
      <c r="T87" s="9" t="s">
        <v>54</v>
      </c>
      <c r="U87" s="9" t="s">
        <v>53</v>
      </c>
      <c r="V87" s="9" t="s">
        <v>54</v>
      </c>
      <c r="W87" s="9" t="s">
        <v>54</v>
      </c>
      <c r="X87" s="9" t="s">
        <v>53</v>
      </c>
      <c r="Y87" s="9" t="s">
        <v>54</v>
      </c>
      <c r="Z87" s="18" t="s">
        <v>54</v>
      </c>
      <c r="AA87" s="8"/>
      <c r="AB87">
        <f t="shared" si="6"/>
        <v>0</v>
      </c>
      <c r="AC87">
        <f t="shared" si="7"/>
        <v>1</v>
      </c>
      <c r="AD87">
        <f t="shared" si="8"/>
        <v>1</v>
      </c>
      <c r="AE87" t="s">
        <v>54</v>
      </c>
      <c r="AF87" t="s">
        <v>66</v>
      </c>
      <c r="AH87" t="s">
        <v>54</v>
      </c>
    </row>
    <row r="88" spans="1:34" x14ac:dyDescent="0.35">
      <c r="A88" s="5" t="s">
        <v>675</v>
      </c>
      <c r="B88" t="s">
        <v>676</v>
      </c>
      <c r="C88" s="17" t="s">
        <v>66</v>
      </c>
      <c r="D88">
        <v>2025</v>
      </c>
      <c r="F88" t="s">
        <v>5</v>
      </c>
      <c r="K88" t="s">
        <v>66</v>
      </c>
      <c r="M88" t="s">
        <v>677</v>
      </c>
      <c r="N88" s="16" t="s">
        <v>66</v>
      </c>
      <c r="O88" s="1" t="s">
        <v>681</v>
      </c>
      <c r="P88" s="21" t="s">
        <v>678</v>
      </c>
      <c r="Q88" s="3" t="s">
        <v>679</v>
      </c>
      <c r="R88" s="9" t="s">
        <v>53</v>
      </c>
      <c r="S88" s="9" t="s">
        <v>53</v>
      </c>
      <c r="T88" s="9" t="s">
        <v>54</v>
      </c>
      <c r="U88" s="9" t="s">
        <v>53</v>
      </c>
      <c r="V88" s="9" t="s">
        <v>54</v>
      </c>
      <c r="W88" s="9" t="s">
        <v>54</v>
      </c>
      <c r="X88" s="9" t="s">
        <v>53</v>
      </c>
      <c r="Y88" s="9" t="s">
        <v>54</v>
      </c>
      <c r="Z88" s="18" t="s">
        <v>54</v>
      </c>
      <c r="AA88" s="8"/>
      <c r="AB88">
        <f t="shared" si="6"/>
        <v>2</v>
      </c>
      <c r="AC88">
        <f t="shared" si="7"/>
        <v>1</v>
      </c>
      <c r="AD88">
        <f t="shared" si="8"/>
        <v>1</v>
      </c>
      <c r="AE88" t="s">
        <v>54</v>
      </c>
      <c r="AF88" t="s">
        <v>66</v>
      </c>
      <c r="AH88" t="s">
        <v>54</v>
      </c>
    </row>
    <row r="89" spans="1:34" s="31" customFormat="1" x14ac:dyDescent="0.35">
      <c r="A89" s="31" t="s">
        <v>367</v>
      </c>
      <c r="B89" s="31" t="s">
        <v>642</v>
      </c>
      <c r="C89" s="32" t="s">
        <v>66</v>
      </c>
      <c r="D89" s="31">
        <v>2019</v>
      </c>
      <c r="E89" t="s">
        <v>368</v>
      </c>
      <c r="F89" s="31" t="s">
        <v>0</v>
      </c>
      <c r="G89" s="31" t="s">
        <v>1</v>
      </c>
      <c r="H89"/>
      <c r="I89" t="s">
        <v>163</v>
      </c>
      <c r="J89" t="s">
        <v>369</v>
      </c>
      <c r="K89" s="31" t="s">
        <v>325</v>
      </c>
      <c r="M89" s="31" t="s">
        <v>370</v>
      </c>
      <c r="N89" s="33" t="s">
        <v>933</v>
      </c>
      <c r="O89" s="33" t="s">
        <v>937</v>
      </c>
      <c r="P89" s="21" t="s">
        <v>66</v>
      </c>
      <c r="Q89" s="21" t="s">
        <v>371</v>
      </c>
      <c r="R89" s="15" t="s">
        <v>53</v>
      </c>
      <c r="S89" s="15" t="s">
        <v>54</v>
      </c>
      <c r="T89" s="15" t="s">
        <v>54</v>
      </c>
      <c r="U89" s="15" t="s">
        <v>53</v>
      </c>
      <c r="V89" s="15" t="s">
        <v>53</v>
      </c>
      <c r="W89" s="15" t="s">
        <v>53</v>
      </c>
      <c r="X89" s="15" t="s">
        <v>53</v>
      </c>
      <c r="Y89" s="15" t="s">
        <v>54</v>
      </c>
      <c r="Z89" s="15" t="s">
        <v>53</v>
      </c>
      <c r="AA89" s="8" t="s">
        <v>91</v>
      </c>
      <c r="AB89" s="31">
        <f t="shared" si="6"/>
        <v>1</v>
      </c>
      <c r="AC89" s="31">
        <f t="shared" si="7"/>
        <v>3</v>
      </c>
      <c r="AD89" s="31">
        <f t="shared" si="8"/>
        <v>2</v>
      </c>
      <c r="AE89" s="31" t="s">
        <v>54</v>
      </c>
      <c r="AF89" s="31" t="s">
        <v>66</v>
      </c>
      <c r="AH89" s="31" t="s">
        <v>54</v>
      </c>
    </row>
    <row r="90" spans="1:34" x14ac:dyDescent="0.35">
      <c r="A90" t="s">
        <v>456</v>
      </c>
      <c r="B90" t="s">
        <v>457</v>
      </c>
      <c r="C90" s="17">
        <v>5</v>
      </c>
      <c r="D90">
        <v>2005</v>
      </c>
      <c r="F90" t="s">
        <v>12</v>
      </c>
      <c r="K90" t="s">
        <v>66</v>
      </c>
      <c r="M90" t="s">
        <v>458</v>
      </c>
      <c r="N90" t="s">
        <v>66</v>
      </c>
      <c r="O90" s="1" t="s">
        <v>459</v>
      </c>
      <c r="P90" s="3" t="s">
        <v>66</v>
      </c>
      <c r="Q90" s="3" t="s">
        <v>52</v>
      </c>
      <c r="R90" s="9" t="s">
        <v>53</v>
      </c>
      <c r="S90" s="9" t="s">
        <v>54</v>
      </c>
      <c r="T90" s="9" t="s">
        <v>54</v>
      </c>
      <c r="U90" s="9" t="s">
        <v>53</v>
      </c>
      <c r="V90" s="10" t="s">
        <v>53</v>
      </c>
      <c r="W90" s="9" t="s">
        <v>54</v>
      </c>
      <c r="X90" s="9" t="s">
        <v>53</v>
      </c>
      <c r="Y90" s="9" t="s">
        <v>53</v>
      </c>
      <c r="Z90" s="18" t="s">
        <v>54</v>
      </c>
      <c r="AA90" s="8" t="s">
        <v>71</v>
      </c>
      <c r="AB90">
        <f t="shared" si="6"/>
        <v>1</v>
      </c>
      <c r="AC90">
        <f t="shared" si="7"/>
        <v>2</v>
      </c>
      <c r="AD90">
        <f t="shared" si="8"/>
        <v>2</v>
      </c>
      <c r="AE90" t="s">
        <v>54</v>
      </c>
      <c r="AF90" t="s">
        <v>66</v>
      </c>
      <c r="AH90" t="s">
        <v>54</v>
      </c>
    </row>
    <row r="91" spans="1:34" x14ac:dyDescent="0.35">
      <c r="A91" t="s">
        <v>362</v>
      </c>
      <c r="B91" t="s">
        <v>363</v>
      </c>
      <c r="C91" s="17">
        <v>0.2</v>
      </c>
      <c r="D91">
        <v>2023</v>
      </c>
      <c r="E91" t="s">
        <v>86</v>
      </c>
      <c r="F91" t="s">
        <v>9</v>
      </c>
      <c r="K91" t="s">
        <v>47</v>
      </c>
      <c r="L91" t="s">
        <v>364</v>
      </c>
      <c r="N91" s="1" t="s">
        <v>365</v>
      </c>
      <c r="O91" s="1" t="s">
        <v>366</v>
      </c>
      <c r="P91" s="21" t="s">
        <v>644</v>
      </c>
      <c r="Q91" s="3" t="s">
        <v>764</v>
      </c>
      <c r="R91" s="9" t="s">
        <v>53</v>
      </c>
      <c r="S91" s="9" t="s">
        <v>53</v>
      </c>
      <c r="T91" s="9" t="s">
        <v>53</v>
      </c>
      <c r="U91" s="9" t="s">
        <v>53</v>
      </c>
      <c r="V91" s="9" t="s">
        <v>53</v>
      </c>
      <c r="W91" s="9" t="s">
        <v>53</v>
      </c>
      <c r="X91" s="9" t="s">
        <v>53</v>
      </c>
      <c r="Y91" s="9" t="s">
        <v>53</v>
      </c>
      <c r="Z91" s="18" t="s">
        <v>54</v>
      </c>
      <c r="AA91" s="8" t="s">
        <v>82</v>
      </c>
      <c r="AB91">
        <f t="shared" si="6"/>
        <v>3</v>
      </c>
      <c r="AC91">
        <f t="shared" si="7"/>
        <v>3</v>
      </c>
      <c r="AD91">
        <f t="shared" si="8"/>
        <v>2</v>
      </c>
      <c r="AE91" t="s">
        <v>54</v>
      </c>
      <c r="AF91" t="s">
        <v>66</v>
      </c>
      <c r="AH91" t="s">
        <v>54</v>
      </c>
    </row>
    <row r="92" spans="1:34" x14ac:dyDescent="0.35">
      <c r="A92" t="s">
        <v>372</v>
      </c>
      <c r="B92" t="s">
        <v>373</v>
      </c>
      <c r="C92" s="17">
        <v>0.1</v>
      </c>
      <c r="D92">
        <v>2024</v>
      </c>
      <c r="E92" t="s">
        <v>67</v>
      </c>
      <c r="F92" t="s">
        <v>1</v>
      </c>
      <c r="K92" t="s">
        <v>60</v>
      </c>
      <c r="N92" s="1" t="s">
        <v>374</v>
      </c>
      <c r="O92" s="1" t="s">
        <v>375</v>
      </c>
      <c r="P92" s="3" t="s">
        <v>66</v>
      </c>
      <c r="Q92" s="3" t="s">
        <v>765</v>
      </c>
      <c r="R92" s="9" t="s">
        <v>53</v>
      </c>
      <c r="S92" s="9" t="s">
        <v>54</v>
      </c>
      <c r="T92" s="9" t="s">
        <v>54</v>
      </c>
      <c r="U92" s="9" t="s">
        <v>53</v>
      </c>
      <c r="V92" s="9" t="s">
        <v>53</v>
      </c>
      <c r="W92" s="9" t="s">
        <v>53</v>
      </c>
      <c r="X92" s="9" t="s">
        <v>53</v>
      </c>
      <c r="Y92" s="9" t="s">
        <v>53</v>
      </c>
      <c r="Z92" s="18" t="s">
        <v>54</v>
      </c>
      <c r="AA92" s="8" t="s">
        <v>97</v>
      </c>
      <c r="AB92">
        <f t="shared" si="6"/>
        <v>1</v>
      </c>
      <c r="AC92">
        <f t="shared" si="7"/>
        <v>3</v>
      </c>
      <c r="AD92">
        <f t="shared" si="8"/>
        <v>2</v>
      </c>
      <c r="AE92" t="s">
        <v>54</v>
      </c>
      <c r="AF92" t="s">
        <v>66</v>
      </c>
      <c r="AH92" t="s">
        <v>54</v>
      </c>
    </row>
    <row r="93" spans="1:34" x14ac:dyDescent="0.35">
      <c r="A93" t="s">
        <v>381</v>
      </c>
      <c r="B93" t="s">
        <v>290</v>
      </c>
      <c r="D93">
        <v>2024</v>
      </c>
      <c r="F93" t="s">
        <v>14</v>
      </c>
      <c r="G93" t="s">
        <v>16</v>
      </c>
      <c r="K93" t="s">
        <v>305</v>
      </c>
      <c r="M93" t="s">
        <v>382</v>
      </c>
      <c r="N93" s="1" t="s">
        <v>383</v>
      </c>
      <c r="O93" s="1" t="s">
        <v>384</v>
      </c>
      <c r="P93" s="3" t="s">
        <v>385</v>
      </c>
      <c r="Q93" s="3" t="s">
        <v>766</v>
      </c>
      <c r="R93" s="9" t="s">
        <v>53</v>
      </c>
      <c r="S93" s="9" t="s">
        <v>53</v>
      </c>
      <c r="T93" s="9" t="s">
        <v>54</v>
      </c>
      <c r="U93" s="9" t="s">
        <v>53</v>
      </c>
      <c r="V93" s="9" t="s">
        <v>53</v>
      </c>
      <c r="W93" s="9" t="s">
        <v>53</v>
      </c>
      <c r="X93" s="9" t="s">
        <v>53</v>
      </c>
      <c r="Y93" s="9" t="s">
        <v>53</v>
      </c>
      <c r="Z93" s="18" t="s">
        <v>54</v>
      </c>
      <c r="AA93" s="8" t="s">
        <v>97</v>
      </c>
      <c r="AB93">
        <f t="shared" si="6"/>
        <v>2</v>
      </c>
      <c r="AC93">
        <f t="shared" si="7"/>
        <v>3</v>
      </c>
      <c r="AD93">
        <f t="shared" si="8"/>
        <v>2</v>
      </c>
      <c r="AE93" t="s">
        <v>54</v>
      </c>
      <c r="AF93" t="s">
        <v>66</v>
      </c>
      <c r="AH93" t="s">
        <v>54</v>
      </c>
    </row>
    <row r="94" spans="1:34" x14ac:dyDescent="0.35">
      <c r="A94" t="s">
        <v>392</v>
      </c>
      <c r="B94" t="s">
        <v>393</v>
      </c>
      <c r="E94" t="s">
        <v>86</v>
      </c>
      <c r="F94" t="s">
        <v>5</v>
      </c>
      <c r="K94" t="s">
        <v>66</v>
      </c>
      <c r="N94" s="1" t="s">
        <v>394</v>
      </c>
      <c r="P94" s="3" t="s">
        <v>395</v>
      </c>
      <c r="Q94" s="3" t="s">
        <v>767</v>
      </c>
      <c r="R94" s="9" t="s">
        <v>53</v>
      </c>
      <c r="S94" s="9" t="s">
        <v>53</v>
      </c>
      <c r="T94" s="9" t="s">
        <v>54</v>
      </c>
      <c r="U94" s="9" t="s">
        <v>53</v>
      </c>
      <c r="V94" s="9" t="s">
        <v>53</v>
      </c>
      <c r="W94" s="9" t="s">
        <v>53</v>
      </c>
      <c r="X94" s="9" t="s">
        <v>53</v>
      </c>
      <c r="Y94" s="9" t="s">
        <v>53</v>
      </c>
      <c r="Z94" s="18" t="s">
        <v>53</v>
      </c>
      <c r="AA94" s="8" t="s">
        <v>91</v>
      </c>
      <c r="AB94">
        <f t="shared" si="6"/>
        <v>2</v>
      </c>
      <c r="AC94">
        <f t="shared" si="7"/>
        <v>3</v>
      </c>
      <c r="AD94">
        <f t="shared" si="8"/>
        <v>3</v>
      </c>
      <c r="AE94" t="s">
        <v>54</v>
      </c>
      <c r="AF94" t="s">
        <v>66</v>
      </c>
      <c r="AH94" t="s">
        <v>54</v>
      </c>
    </row>
    <row r="95" spans="1:34" x14ac:dyDescent="0.35">
      <c r="A95" t="s">
        <v>401</v>
      </c>
      <c r="B95" t="s">
        <v>402</v>
      </c>
      <c r="C95" s="17">
        <v>1.1000000000000001</v>
      </c>
      <c r="D95">
        <v>2020</v>
      </c>
      <c r="E95" t="s">
        <v>403</v>
      </c>
      <c r="F95" t="s">
        <v>4</v>
      </c>
      <c r="G95" t="s">
        <v>403</v>
      </c>
      <c r="K95" t="s">
        <v>94</v>
      </c>
      <c r="M95" t="s">
        <v>404</v>
      </c>
      <c r="N95" t="s">
        <v>66</v>
      </c>
      <c r="O95" s="1" t="s">
        <v>96</v>
      </c>
      <c r="P95" s="3" t="s">
        <v>66</v>
      </c>
      <c r="Q95" s="3" t="s">
        <v>727</v>
      </c>
      <c r="R95" s="9" t="s">
        <v>53</v>
      </c>
      <c r="S95" s="9" t="s">
        <v>54</v>
      </c>
      <c r="T95" s="9" t="s">
        <v>54</v>
      </c>
      <c r="U95" s="9" t="s">
        <v>54</v>
      </c>
      <c r="V95" s="9" t="s">
        <v>53</v>
      </c>
      <c r="W95" s="9" t="s">
        <v>54</v>
      </c>
      <c r="X95" s="9" t="s">
        <v>54</v>
      </c>
      <c r="Y95" s="9" t="s">
        <v>54</v>
      </c>
      <c r="Z95" s="18" t="s">
        <v>54</v>
      </c>
      <c r="AA95" s="8" t="s">
        <v>71</v>
      </c>
      <c r="AB95">
        <f t="shared" si="6"/>
        <v>1</v>
      </c>
      <c r="AC95">
        <f t="shared" si="7"/>
        <v>1</v>
      </c>
      <c r="AD95">
        <f t="shared" si="8"/>
        <v>0</v>
      </c>
      <c r="AE95" t="s">
        <v>54</v>
      </c>
      <c r="AF95" t="s">
        <v>66</v>
      </c>
      <c r="AH95" t="s">
        <v>54</v>
      </c>
    </row>
    <row r="96" spans="1:34" x14ac:dyDescent="0.35">
      <c r="A96" t="s">
        <v>405</v>
      </c>
      <c r="B96" t="s">
        <v>296</v>
      </c>
      <c r="C96" s="17">
        <v>0.2</v>
      </c>
      <c r="D96">
        <v>2023</v>
      </c>
      <c r="E96" t="s">
        <v>86</v>
      </c>
      <c r="F96" t="s">
        <v>9</v>
      </c>
      <c r="K96" t="s">
        <v>47</v>
      </c>
      <c r="L96" t="s">
        <v>406</v>
      </c>
      <c r="N96" s="1" t="s">
        <v>407</v>
      </c>
      <c r="O96" s="1" t="s">
        <v>408</v>
      </c>
      <c r="P96" s="3" t="s">
        <v>66</v>
      </c>
      <c r="Q96" s="3" t="s">
        <v>768</v>
      </c>
      <c r="R96" s="9" t="s">
        <v>53</v>
      </c>
      <c r="S96" s="9" t="s">
        <v>53</v>
      </c>
      <c r="T96" s="9" t="s">
        <v>53</v>
      </c>
      <c r="U96" s="9" t="s">
        <v>53</v>
      </c>
      <c r="V96" s="9" t="s">
        <v>53</v>
      </c>
      <c r="W96" s="9" t="s">
        <v>53</v>
      </c>
      <c r="X96" s="9" t="s">
        <v>53</v>
      </c>
      <c r="Y96" s="9" t="s">
        <v>53</v>
      </c>
      <c r="Z96" s="18" t="s">
        <v>53</v>
      </c>
      <c r="AA96" s="8" t="s">
        <v>91</v>
      </c>
      <c r="AB96">
        <f t="shared" si="6"/>
        <v>3</v>
      </c>
      <c r="AC96">
        <f t="shared" si="7"/>
        <v>3</v>
      </c>
      <c r="AD96">
        <f t="shared" si="8"/>
        <v>3</v>
      </c>
      <c r="AE96" t="s">
        <v>54</v>
      </c>
      <c r="AF96" t="s">
        <v>66</v>
      </c>
      <c r="AH96" t="s">
        <v>54</v>
      </c>
    </row>
    <row r="97" spans="1:34" x14ac:dyDescent="0.35">
      <c r="A97" t="s">
        <v>423</v>
      </c>
      <c r="B97" t="s">
        <v>424</v>
      </c>
      <c r="C97" s="17" t="s">
        <v>66</v>
      </c>
      <c r="D97">
        <v>2024</v>
      </c>
      <c r="E97" t="s">
        <v>2</v>
      </c>
      <c r="F97" t="s">
        <v>2</v>
      </c>
      <c r="K97" t="s">
        <v>417</v>
      </c>
      <c r="M97" t="s">
        <v>425</v>
      </c>
      <c r="N97" t="s">
        <v>66</v>
      </c>
      <c r="O97" s="1" t="s">
        <v>426</v>
      </c>
      <c r="P97" s="3" t="s">
        <v>427</v>
      </c>
      <c r="Q97" s="3" t="s">
        <v>428</v>
      </c>
      <c r="R97" s="9" t="s">
        <v>53</v>
      </c>
      <c r="S97" s="9" t="s">
        <v>53</v>
      </c>
      <c r="T97" s="9" t="s">
        <v>54</v>
      </c>
      <c r="U97" s="9" t="s">
        <v>53</v>
      </c>
      <c r="V97" s="9" t="s">
        <v>54</v>
      </c>
      <c r="W97" s="9" t="s">
        <v>54</v>
      </c>
      <c r="X97" s="9" t="s">
        <v>53</v>
      </c>
      <c r="Y97" s="9" t="s">
        <v>54</v>
      </c>
      <c r="Z97" s="18" t="s">
        <v>54</v>
      </c>
      <c r="AA97" s="8" t="s">
        <v>71</v>
      </c>
      <c r="AB97">
        <f t="shared" si="6"/>
        <v>2</v>
      </c>
      <c r="AC97">
        <f t="shared" si="7"/>
        <v>1</v>
      </c>
      <c r="AD97">
        <f t="shared" si="8"/>
        <v>1</v>
      </c>
      <c r="AE97" t="s">
        <v>54</v>
      </c>
      <c r="AF97" t="s">
        <v>66</v>
      </c>
      <c r="AH97" t="s">
        <v>54</v>
      </c>
    </row>
    <row r="98" spans="1:34" x14ac:dyDescent="0.35">
      <c r="A98" t="s">
        <v>415</v>
      </c>
      <c r="B98" t="s">
        <v>416</v>
      </c>
      <c r="C98" s="17">
        <v>1.1000000000000001</v>
      </c>
      <c r="D98">
        <v>2019</v>
      </c>
      <c r="E98" t="s">
        <v>11</v>
      </c>
      <c r="F98" t="s">
        <v>11</v>
      </c>
      <c r="K98" t="s">
        <v>417</v>
      </c>
      <c r="M98" t="s">
        <v>418</v>
      </c>
      <c r="N98" s="1" t="s">
        <v>419</v>
      </c>
      <c r="O98" s="1" t="s">
        <v>419</v>
      </c>
      <c r="P98" s="3" t="s">
        <v>66</v>
      </c>
      <c r="Q98" s="3" t="s">
        <v>829</v>
      </c>
      <c r="R98" s="9" t="s">
        <v>53</v>
      </c>
      <c r="S98" s="9" t="s">
        <v>54</v>
      </c>
      <c r="T98" s="9" t="s">
        <v>54</v>
      </c>
      <c r="U98" s="9" t="s">
        <v>53</v>
      </c>
      <c r="V98" s="9" t="s">
        <v>53</v>
      </c>
      <c r="W98" s="9" t="s">
        <v>53</v>
      </c>
      <c r="X98" s="9" t="s">
        <v>53</v>
      </c>
      <c r="Y98" s="9" t="s">
        <v>53</v>
      </c>
      <c r="Z98" s="18" t="s">
        <v>54</v>
      </c>
      <c r="AA98" s="8" t="s">
        <v>91</v>
      </c>
      <c r="AB98">
        <f t="shared" ref="AB98:AB129" si="9">COUNTIF(R98:T98, "yes")</f>
        <v>1</v>
      </c>
      <c r="AC98">
        <f t="shared" ref="AC98:AC129" si="10">COUNTIF(U98:W98, "yes")</f>
        <v>3</v>
      </c>
      <c r="AD98">
        <f t="shared" ref="AD98:AD129" si="11">COUNTIF(X98:Z98, "yes")</f>
        <v>2</v>
      </c>
      <c r="AE98" t="s">
        <v>54</v>
      </c>
      <c r="AF98" t="s">
        <v>66</v>
      </c>
      <c r="AH98" t="s">
        <v>54</v>
      </c>
    </row>
    <row r="99" spans="1:34" x14ac:dyDescent="0.35">
      <c r="A99" t="s">
        <v>697</v>
      </c>
      <c r="B99" t="s">
        <v>698</v>
      </c>
      <c r="C99" s="17" t="s">
        <v>66</v>
      </c>
      <c r="D99">
        <v>2022</v>
      </c>
      <c r="F99" t="s">
        <v>19</v>
      </c>
      <c r="G99" t="s">
        <v>9</v>
      </c>
      <c r="K99" t="s">
        <v>66</v>
      </c>
      <c r="L99" t="s">
        <v>703</v>
      </c>
      <c r="M99" t="s">
        <v>705</v>
      </c>
      <c r="N99" s="1" t="s">
        <v>701</v>
      </c>
      <c r="O99" s="1" t="s">
        <v>702</v>
      </c>
      <c r="P99" s="3" t="s">
        <v>66</v>
      </c>
      <c r="Q99" s="3" t="s">
        <v>704</v>
      </c>
      <c r="R99" s="9" t="s">
        <v>53</v>
      </c>
      <c r="S99" s="9" t="s">
        <v>54</v>
      </c>
      <c r="T99" s="9" t="s">
        <v>53</v>
      </c>
      <c r="U99" s="9" t="s">
        <v>53</v>
      </c>
      <c r="V99" s="9" t="s">
        <v>53</v>
      </c>
      <c r="W99" s="9" t="s">
        <v>53</v>
      </c>
      <c r="X99" s="9" t="s">
        <v>53</v>
      </c>
      <c r="Y99" s="9" t="s">
        <v>53</v>
      </c>
      <c r="Z99" s="18" t="s">
        <v>53</v>
      </c>
      <c r="AA99" s="8"/>
      <c r="AB99">
        <f t="shared" si="9"/>
        <v>2</v>
      </c>
      <c r="AC99">
        <f t="shared" si="10"/>
        <v>3</v>
      </c>
      <c r="AD99">
        <f t="shared" si="11"/>
        <v>3</v>
      </c>
      <c r="AE99" t="s">
        <v>53</v>
      </c>
      <c r="AF99" t="s">
        <v>707</v>
      </c>
      <c r="AH99" t="s">
        <v>54</v>
      </c>
    </row>
    <row r="100" spans="1:34" x14ac:dyDescent="0.35">
      <c r="A100" t="s">
        <v>696</v>
      </c>
      <c r="B100" t="s">
        <v>699</v>
      </c>
      <c r="C100" s="17" t="s">
        <v>66</v>
      </c>
      <c r="D100">
        <v>2022</v>
      </c>
      <c r="F100" t="s">
        <v>19</v>
      </c>
      <c r="G100" t="s">
        <v>9</v>
      </c>
      <c r="K100" t="s">
        <v>66</v>
      </c>
      <c r="L100" t="s">
        <v>703</v>
      </c>
      <c r="M100" t="s">
        <v>706</v>
      </c>
      <c r="N100" s="1" t="s">
        <v>700</v>
      </c>
      <c r="O100" s="1" t="s">
        <v>702</v>
      </c>
      <c r="P100" s="3" t="s">
        <v>66</v>
      </c>
      <c r="Q100" s="3" t="s">
        <v>704</v>
      </c>
      <c r="R100" s="9" t="s">
        <v>53</v>
      </c>
      <c r="S100" s="9" t="s">
        <v>54</v>
      </c>
      <c r="T100" s="9" t="s">
        <v>53</v>
      </c>
      <c r="U100" s="9" t="s">
        <v>53</v>
      </c>
      <c r="V100" s="9" t="s">
        <v>53</v>
      </c>
      <c r="W100" s="9" t="s">
        <v>53</v>
      </c>
      <c r="X100" s="9" t="s">
        <v>53</v>
      </c>
      <c r="Y100" s="9" t="s">
        <v>53</v>
      </c>
      <c r="Z100" s="18" t="s">
        <v>53</v>
      </c>
      <c r="AA100" s="8"/>
      <c r="AB100">
        <f t="shared" si="9"/>
        <v>2</v>
      </c>
      <c r="AC100">
        <f t="shared" si="10"/>
        <v>3</v>
      </c>
      <c r="AD100">
        <f t="shared" si="11"/>
        <v>3</v>
      </c>
      <c r="AE100" t="s">
        <v>53</v>
      </c>
      <c r="AF100" t="s">
        <v>707</v>
      </c>
      <c r="AH100" t="s">
        <v>54</v>
      </c>
    </row>
    <row r="101" spans="1:34" x14ac:dyDescent="0.35">
      <c r="A101" t="s">
        <v>433</v>
      </c>
      <c r="B101" t="s">
        <v>434</v>
      </c>
      <c r="C101" s="17">
        <v>1</v>
      </c>
      <c r="D101">
        <v>2022</v>
      </c>
      <c r="E101" t="s">
        <v>435</v>
      </c>
      <c r="F101" t="s">
        <v>3</v>
      </c>
      <c r="K101" t="s">
        <v>47</v>
      </c>
      <c r="M101" t="s">
        <v>436</v>
      </c>
      <c r="N101" s="1" t="s">
        <v>437</v>
      </c>
      <c r="O101" s="1" t="s">
        <v>438</v>
      </c>
      <c r="P101" s="3" t="s">
        <v>120</v>
      </c>
      <c r="Q101" s="3" t="s">
        <v>769</v>
      </c>
      <c r="R101" s="9" t="s">
        <v>53</v>
      </c>
      <c r="S101" s="9" t="s">
        <v>53</v>
      </c>
      <c r="T101" s="9" t="s">
        <v>53</v>
      </c>
      <c r="U101" s="9" t="s">
        <v>53</v>
      </c>
      <c r="V101" s="9" t="s">
        <v>53</v>
      </c>
      <c r="W101" s="9" t="s">
        <v>53</v>
      </c>
      <c r="X101" s="9" t="s">
        <v>53</v>
      </c>
      <c r="Y101" s="9" t="s">
        <v>53</v>
      </c>
      <c r="Z101" s="18" t="s">
        <v>53</v>
      </c>
      <c r="AA101" s="8" t="s">
        <v>82</v>
      </c>
      <c r="AB101">
        <f t="shared" si="9"/>
        <v>3</v>
      </c>
      <c r="AC101">
        <f t="shared" si="10"/>
        <v>3</v>
      </c>
      <c r="AD101">
        <f t="shared" si="11"/>
        <v>3</v>
      </c>
      <c r="AE101" t="s">
        <v>54</v>
      </c>
      <c r="AF101" t="s">
        <v>66</v>
      </c>
      <c r="AH101" t="s">
        <v>54</v>
      </c>
    </row>
    <row r="102" spans="1:34" x14ac:dyDescent="0.35">
      <c r="A102" t="s">
        <v>444</v>
      </c>
      <c r="B102" t="s">
        <v>445</v>
      </c>
      <c r="C102" s="17" t="s">
        <v>446</v>
      </c>
      <c r="D102">
        <v>2019</v>
      </c>
      <c r="E102" t="s">
        <v>122</v>
      </c>
      <c r="F102" t="s">
        <v>10</v>
      </c>
      <c r="K102" t="s">
        <v>66</v>
      </c>
      <c r="L102" t="s">
        <v>447</v>
      </c>
      <c r="M102" t="s">
        <v>448</v>
      </c>
      <c r="N102" t="s">
        <v>66</v>
      </c>
      <c r="O102" s="1" t="s">
        <v>449</v>
      </c>
      <c r="P102" s="3" t="s">
        <v>66</v>
      </c>
      <c r="Q102" s="3" t="s">
        <v>66</v>
      </c>
      <c r="R102" s="9" t="s">
        <v>54</v>
      </c>
      <c r="S102" s="9" t="s">
        <v>54</v>
      </c>
      <c r="T102" s="9" t="s">
        <v>54</v>
      </c>
      <c r="U102" s="9" t="s">
        <v>53</v>
      </c>
      <c r="V102" s="9" t="s">
        <v>53</v>
      </c>
      <c r="W102" s="9" t="s">
        <v>54</v>
      </c>
      <c r="X102" s="9" t="s">
        <v>54</v>
      </c>
      <c r="Y102" s="9" t="s">
        <v>53</v>
      </c>
      <c r="Z102" s="18" t="s">
        <v>54</v>
      </c>
      <c r="AA102" s="8" t="s">
        <v>97</v>
      </c>
      <c r="AB102">
        <f t="shared" si="9"/>
        <v>0</v>
      </c>
      <c r="AC102">
        <f t="shared" si="10"/>
        <v>2</v>
      </c>
      <c r="AD102">
        <f t="shared" si="11"/>
        <v>1</v>
      </c>
      <c r="AE102" t="s">
        <v>54</v>
      </c>
      <c r="AF102" t="s">
        <v>66</v>
      </c>
      <c r="AH102" t="s">
        <v>54</v>
      </c>
    </row>
    <row r="103" spans="1:34" ht="29" x14ac:dyDescent="0.35">
      <c r="A103" t="s">
        <v>429</v>
      </c>
      <c r="B103" t="s">
        <v>430</v>
      </c>
      <c r="C103" s="17">
        <v>0.3</v>
      </c>
      <c r="D103">
        <v>2022</v>
      </c>
      <c r="F103" t="s">
        <v>13</v>
      </c>
      <c r="K103" t="s">
        <v>66</v>
      </c>
      <c r="N103" s="1" t="s">
        <v>431</v>
      </c>
      <c r="O103" s="1" t="s">
        <v>432</v>
      </c>
      <c r="P103" s="3" t="s">
        <v>126</v>
      </c>
      <c r="Q103" s="3" t="s">
        <v>770</v>
      </c>
      <c r="R103" s="9" t="s">
        <v>53</v>
      </c>
      <c r="S103" s="9" t="s">
        <v>54</v>
      </c>
      <c r="T103" s="9" t="s">
        <v>53</v>
      </c>
      <c r="U103" s="9" t="s">
        <v>53</v>
      </c>
      <c r="V103" s="9" t="s">
        <v>53</v>
      </c>
      <c r="W103" s="9" t="s">
        <v>53</v>
      </c>
      <c r="X103" s="9" t="s">
        <v>53</v>
      </c>
      <c r="Y103" s="9" t="s">
        <v>53</v>
      </c>
      <c r="Z103" s="18" t="s">
        <v>54</v>
      </c>
      <c r="AA103" s="8" t="s">
        <v>82</v>
      </c>
      <c r="AB103">
        <f t="shared" si="9"/>
        <v>2</v>
      </c>
      <c r="AC103">
        <f t="shared" si="10"/>
        <v>3</v>
      </c>
      <c r="AD103">
        <f t="shared" si="11"/>
        <v>2</v>
      </c>
      <c r="AE103" t="s">
        <v>54</v>
      </c>
      <c r="AF103" t="s">
        <v>66</v>
      </c>
      <c r="AH103" t="s">
        <v>54</v>
      </c>
    </row>
    <row r="104" spans="1:34" x14ac:dyDescent="0.35">
      <c r="A104" s="5" t="s">
        <v>669</v>
      </c>
      <c r="B104" t="s">
        <v>670</v>
      </c>
      <c r="C104" s="17">
        <v>1</v>
      </c>
      <c r="D104">
        <v>2022</v>
      </c>
      <c r="F104" t="s">
        <v>15</v>
      </c>
      <c r="K104" t="s">
        <v>60</v>
      </c>
      <c r="M104" t="s">
        <v>671</v>
      </c>
      <c r="N104" s="1" t="s">
        <v>672</v>
      </c>
      <c r="O104" s="1" t="s">
        <v>673</v>
      </c>
      <c r="P104" s="3" t="s">
        <v>674</v>
      </c>
      <c r="Q104" s="3" t="s">
        <v>771</v>
      </c>
      <c r="R104" s="9" t="s">
        <v>53</v>
      </c>
      <c r="S104" s="9" t="s">
        <v>53</v>
      </c>
      <c r="T104" s="9" t="s">
        <v>53</v>
      </c>
      <c r="U104" s="9" t="s">
        <v>53</v>
      </c>
      <c r="V104" s="9" t="s">
        <v>53</v>
      </c>
      <c r="W104" s="9" t="s">
        <v>53</v>
      </c>
      <c r="X104" s="9" t="s">
        <v>53</v>
      </c>
      <c r="Y104" s="9" t="s">
        <v>53</v>
      </c>
      <c r="Z104" s="18" t="s">
        <v>53</v>
      </c>
      <c r="AA104" s="8"/>
      <c r="AB104">
        <f t="shared" si="9"/>
        <v>3</v>
      </c>
      <c r="AC104">
        <f t="shared" si="10"/>
        <v>3</v>
      </c>
      <c r="AD104">
        <f t="shared" si="11"/>
        <v>3</v>
      </c>
      <c r="AE104" t="s">
        <v>54</v>
      </c>
      <c r="AF104" t="s">
        <v>66</v>
      </c>
      <c r="AH104" t="s">
        <v>54</v>
      </c>
    </row>
    <row r="105" spans="1:34" x14ac:dyDescent="0.35">
      <c r="A105" t="s">
        <v>439</v>
      </c>
      <c r="B105" t="s">
        <v>354</v>
      </c>
      <c r="C105" s="17">
        <v>0.3</v>
      </c>
      <c r="D105">
        <v>2019</v>
      </c>
      <c r="E105" t="s">
        <v>199</v>
      </c>
      <c r="F105" t="s">
        <v>0</v>
      </c>
      <c r="K105" t="s">
        <v>47</v>
      </c>
      <c r="M105" t="s">
        <v>440</v>
      </c>
      <c r="N105" s="1" t="s">
        <v>441</v>
      </c>
      <c r="O105" s="1" t="s">
        <v>442</v>
      </c>
      <c r="P105" s="3" t="s">
        <v>443</v>
      </c>
      <c r="Q105" s="3" t="s">
        <v>772</v>
      </c>
      <c r="R105" s="9" t="s">
        <v>53</v>
      </c>
      <c r="S105" s="9" t="s">
        <v>53</v>
      </c>
      <c r="T105" s="9" t="s">
        <v>53</v>
      </c>
      <c r="U105" s="9" t="s">
        <v>53</v>
      </c>
      <c r="V105" s="9" t="s">
        <v>53</v>
      </c>
      <c r="W105" s="9" t="s">
        <v>53</v>
      </c>
      <c r="X105" s="9" t="s">
        <v>53</v>
      </c>
      <c r="Y105" s="9" t="s">
        <v>53</v>
      </c>
      <c r="Z105" s="18" t="s">
        <v>53</v>
      </c>
      <c r="AA105" s="8" t="s">
        <v>91</v>
      </c>
      <c r="AB105">
        <f t="shared" si="9"/>
        <v>3</v>
      </c>
      <c r="AC105">
        <f t="shared" si="10"/>
        <v>3</v>
      </c>
      <c r="AD105">
        <f t="shared" si="11"/>
        <v>3</v>
      </c>
      <c r="AE105" t="s">
        <v>54</v>
      </c>
      <c r="AF105" t="s">
        <v>66</v>
      </c>
      <c r="AH105" t="s">
        <v>54</v>
      </c>
    </row>
    <row r="106" spans="1:34" x14ac:dyDescent="0.35">
      <c r="A106" t="s">
        <v>465</v>
      </c>
      <c r="B106" t="s">
        <v>395</v>
      </c>
      <c r="C106" s="17" t="s">
        <v>66</v>
      </c>
      <c r="D106">
        <v>2018</v>
      </c>
      <c r="E106" t="s">
        <v>466</v>
      </c>
      <c r="F106" t="s">
        <v>5</v>
      </c>
      <c r="K106" t="s">
        <v>128</v>
      </c>
      <c r="M106" t="s">
        <v>467</v>
      </c>
      <c r="N106" s="1" t="s">
        <v>468</v>
      </c>
      <c r="O106" s="1" t="s">
        <v>468</v>
      </c>
      <c r="P106" s="3" t="s">
        <v>139</v>
      </c>
      <c r="Q106" s="3" t="s">
        <v>469</v>
      </c>
      <c r="R106" s="9" t="s">
        <v>53</v>
      </c>
      <c r="S106" s="9" t="s">
        <v>53</v>
      </c>
      <c r="T106" s="9" t="s">
        <v>54</v>
      </c>
      <c r="U106" s="9" t="s">
        <v>53</v>
      </c>
      <c r="V106" s="9" t="s">
        <v>53</v>
      </c>
      <c r="W106" s="9" t="s">
        <v>53</v>
      </c>
      <c r="X106" s="9" t="s">
        <v>53</v>
      </c>
      <c r="Y106" s="9" t="s">
        <v>53</v>
      </c>
      <c r="Z106" s="18" t="s">
        <v>53</v>
      </c>
      <c r="AA106" s="8" t="s">
        <v>82</v>
      </c>
      <c r="AB106">
        <f t="shared" si="9"/>
        <v>2</v>
      </c>
      <c r="AC106">
        <f t="shared" si="10"/>
        <v>3</v>
      </c>
      <c r="AD106">
        <f t="shared" si="11"/>
        <v>3</v>
      </c>
      <c r="AE106" t="s">
        <v>54</v>
      </c>
      <c r="AF106" t="s">
        <v>66</v>
      </c>
      <c r="AH106" t="s">
        <v>54</v>
      </c>
    </row>
    <row r="107" spans="1:34" x14ac:dyDescent="0.35">
      <c r="A107" t="s">
        <v>269</v>
      </c>
      <c r="B107" t="s">
        <v>270</v>
      </c>
      <c r="C107" s="17" t="s">
        <v>271</v>
      </c>
      <c r="D107">
        <v>2019</v>
      </c>
      <c r="F107" t="s">
        <v>10</v>
      </c>
      <c r="K107" t="s">
        <v>192</v>
      </c>
      <c r="M107" t="s">
        <v>272</v>
      </c>
      <c r="N107" s="1" t="s">
        <v>273</v>
      </c>
      <c r="O107" s="1" t="s">
        <v>273</v>
      </c>
      <c r="Q107" s="3" t="s">
        <v>773</v>
      </c>
      <c r="R107" s="9" t="s">
        <v>53</v>
      </c>
      <c r="S107" s="9" t="s">
        <v>54</v>
      </c>
      <c r="T107" s="9" t="s">
        <v>54</v>
      </c>
      <c r="U107" s="9" t="s">
        <v>53</v>
      </c>
      <c r="V107" s="9" t="s">
        <v>53</v>
      </c>
      <c r="W107" s="9" t="s">
        <v>53</v>
      </c>
      <c r="X107" s="9" t="s">
        <v>53</v>
      </c>
      <c r="Y107" s="9" t="s">
        <v>53</v>
      </c>
      <c r="Z107" s="18" t="s">
        <v>54</v>
      </c>
      <c r="AA107" s="8" t="s">
        <v>82</v>
      </c>
      <c r="AB107">
        <f t="shared" si="9"/>
        <v>1</v>
      </c>
      <c r="AC107">
        <f t="shared" si="10"/>
        <v>3</v>
      </c>
      <c r="AD107">
        <f t="shared" si="11"/>
        <v>2</v>
      </c>
      <c r="AE107" t="s">
        <v>54</v>
      </c>
      <c r="AF107" t="s">
        <v>66</v>
      </c>
      <c r="AH107" t="s">
        <v>54</v>
      </c>
    </row>
    <row r="108" spans="1:34" x14ac:dyDescent="0.35">
      <c r="A108" t="s">
        <v>645</v>
      </c>
      <c r="B108" t="s">
        <v>646</v>
      </c>
      <c r="C108" s="17">
        <v>2</v>
      </c>
      <c r="D108">
        <v>2016</v>
      </c>
      <c r="F108" t="s">
        <v>12</v>
      </c>
      <c r="K108" t="s">
        <v>785</v>
      </c>
      <c r="M108" t="s">
        <v>786</v>
      </c>
      <c r="N108" s="4" t="s">
        <v>787</v>
      </c>
      <c r="O108" s="4" t="s">
        <v>832</v>
      </c>
      <c r="Q108" s="3" t="s">
        <v>924</v>
      </c>
      <c r="R108" s="9" t="s">
        <v>53</v>
      </c>
      <c r="S108" s="9" t="s">
        <v>54</v>
      </c>
      <c r="T108" s="9" t="s">
        <v>53</v>
      </c>
      <c r="U108" s="9" t="s">
        <v>53</v>
      </c>
      <c r="V108" s="9" t="s">
        <v>53</v>
      </c>
      <c r="W108" s="9" t="s">
        <v>54</v>
      </c>
      <c r="X108" s="9" t="s">
        <v>53</v>
      </c>
      <c r="Y108" s="9" t="s">
        <v>53</v>
      </c>
      <c r="Z108" s="9" t="s">
        <v>54</v>
      </c>
      <c r="AA108" s="8"/>
      <c r="AB108">
        <f t="shared" si="9"/>
        <v>2</v>
      </c>
      <c r="AC108">
        <f t="shared" si="10"/>
        <v>2</v>
      </c>
      <c r="AD108">
        <f t="shared" si="11"/>
        <v>2</v>
      </c>
      <c r="AE108" t="s">
        <v>54</v>
      </c>
      <c r="AF108" t="s">
        <v>66</v>
      </c>
      <c r="AH108" t="s">
        <v>54</v>
      </c>
    </row>
    <row r="109" spans="1:34" x14ac:dyDescent="0.35">
      <c r="A109" t="s">
        <v>565</v>
      </c>
      <c r="B109" t="s">
        <v>566</v>
      </c>
      <c r="C109" s="17" t="s">
        <v>66</v>
      </c>
      <c r="D109">
        <v>2017</v>
      </c>
      <c r="E109" t="s">
        <v>219</v>
      </c>
      <c r="F109" t="s">
        <v>4</v>
      </c>
      <c r="K109" t="s">
        <v>66</v>
      </c>
      <c r="M109" t="s">
        <v>567</v>
      </c>
      <c r="N109" t="s">
        <v>66</v>
      </c>
      <c r="O109" s="1" t="s">
        <v>568</v>
      </c>
      <c r="P109" s="3" t="s">
        <v>66</v>
      </c>
      <c r="Q109" s="3" t="s">
        <v>66</v>
      </c>
      <c r="R109" s="9" t="s">
        <v>54</v>
      </c>
      <c r="S109" s="9" t="s">
        <v>54</v>
      </c>
      <c r="T109" s="9" t="s">
        <v>54</v>
      </c>
      <c r="U109" s="9" t="s">
        <v>54</v>
      </c>
      <c r="V109" s="9" t="s">
        <v>54</v>
      </c>
      <c r="W109" s="9" t="s">
        <v>54</v>
      </c>
      <c r="X109" s="9" t="s">
        <v>54</v>
      </c>
      <c r="Y109" s="9" t="s">
        <v>54</v>
      </c>
      <c r="Z109" s="18" t="s">
        <v>54</v>
      </c>
      <c r="AA109" s="8" t="s">
        <v>82</v>
      </c>
      <c r="AB109">
        <f t="shared" si="9"/>
        <v>0</v>
      </c>
      <c r="AC109">
        <f t="shared" si="10"/>
        <v>0</v>
      </c>
      <c r="AD109">
        <f t="shared" si="11"/>
        <v>0</v>
      </c>
      <c r="AE109" t="s">
        <v>54</v>
      </c>
      <c r="AF109" t="s">
        <v>66</v>
      </c>
      <c r="AH109" t="s">
        <v>54</v>
      </c>
    </row>
    <row r="110" spans="1:34" x14ac:dyDescent="0.35">
      <c r="A110" t="s">
        <v>483</v>
      </c>
      <c r="B110" t="s">
        <v>484</v>
      </c>
      <c r="C110" s="17">
        <v>4</v>
      </c>
      <c r="D110">
        <v>2019</v>
      </c>
      <c r="E110" t="s">
        <v>466</v>
      </c>
      <c r="F110" t="s">
        <v>831</v>
      </c>
      <c r="K110" t="s">
        <v>485</v>
      </c>
      <c r="M110" t="s">
        <v>486</v>
      </c>
      <c r="N110" s="1"/>
      <c r="O110" s="1" t="s">
        <v>487</v>
      </c>
      <c r="P110" s="3" t="s">
        <v>488</v>
      </c>
      <c r="Q110" s="3" t="s">
        <v>489</v>
      </c>
      <c r="R110" s="9" t="s">
        <v>53</v>
      </c>
      <c r="S110" s="9" t="s">
        <v>53</v>
      </c>
      <c r="T110" s="9" t="s">
        <v>53</v>
      </c>
      <c r="U110" s="9" t="s">
        <v>53</v>
      </c>
      <c r="V110" s="9" t="s">
        <v>53</v>
      </c>
      <c r="W110" s="9" t="s">
        <v>54</v>
      </c>
      <c r="X110" s="9" t="s">
        <v>53</v>
      </c>
      <c r="Y110" s="9" t="s">
        <v>54</v>
      </c>
      <c r="Z110" s="18" t="s">
        <v>53</v>
      </c>
      <c r="AA110" s="8" t="s">
        <v>71</v>
      </c>
      <c r="AB110">
        <f t="shared" si="9"/>
        <v>3</v>
      </c>
      <c r="AC110">
        <f t="shared" si="10"/>
        <v>2</v>
      </c>
      <c r="AD110">
        <f t="shared" si="11"/>
        <v>2</v>
      </c>
      <c r="AE110" t="s">
        <v>54</v>
      </c>
      <c r="AF110" t="s">
        <v>66</v>
      </c>
      <c r="AH110" t="s">
        <v>54</v>
      </c>
    </row>
    <row r="111" spans="1:34" x14ac:dyDescent="0.35">
      <c r="A111" t="s">
        <v>818</v>
      </c>
      <c r="B111" t="s">
        <v>819</v>
      </c>
      <c r="C111" s="17" t="s">
        <v>311</v>
      </c>
      <c r="D111">
        <v>2024</v>
      </c>
      <c r="F111" t="s">
        <v>8</v>
      </c>
      <c r="K111" t="s">
        <v>184</v>
      </c>
      <c r="M111" t="s">
        <v>820</v>
      </c>
      <c r="N111" s="1" t="s">
        <v>821</v>
      </c>
      <c r="O111" s="1" t="s">
        <v>822</v>
      </c>
      <c r="P111" s="3" t="s">
        <v>66</v>
      </c>
      <c r="Q111" s="3" t="s">
        <v>823</v>
      </c>
      <c r="R111" s="9" t="s">
        <v>53</v>
      </c>
      <c r="S111" s="9" t="s">
        <v>54</v>
      </c>
      <c r="T111" s="9" t="s">
        <v>54</v>
      </c>
      <c r="U111" s="9" t="s">
        <v>53</v>
      </c>
      <c r="V111" s="9" t="s">
        <v>53</v>
      </c>
      <c r="W111" s="9" t="s">
        <v>53</v>
      </c>
      <c r="X111" s="9" t="s">
        <v>53</v>
      </c>
      <c r="Y111" s="9" t="s">
        <v>53</v>
      </c>
      <c r="Z111" s="18" t="s">
        <v>54</v>
      </c>
      <c r="AA111" s="8"/>
      <c r="AB111">
        <f t="shared" si="9"/>
        <v>1</v>
      </c>
      <c r="AC111">
        <f t="shared" si="10"/>
        <v>3</v>
      </c>
      <c r="AD111">
        <f t="shared" si="11"/>
        <v>2</v>
      </c>
    </row>
    <row r="112" spans="1:34" x14ac:dyDescent="0.35">
      <c r="A112" t="s">
        <v>490</v>
      </c>
      <c r="B112" s="7" t="s">
        <v>491</v>
      </c>
      <c r="C112" s="17">
        <v>1.1000000000000001</v>
      </c>
      <c r="D112">
        <v>2020</v>
      </c>
      <c r="E112" t="s">
        <v>492</v>
      </c>
      <c r="F112" t="s">
        <v>4</v>
      </c>
      <c r="K112" t="s">
        <v>94</v>
      </c>
      <c r="M112" t="s">
        <v>493</v>
      </c>
      <c r="N112" t="s">
        <v>66</v>
      </c>
      <c r="O112" s="1" t="s">
        <v>96</v>
      </c>
      <c r="P112" s="3" t="s">
        <v>66</v>
      </c>
      <c r="Q112" s="20" t="s">
        <v>66</v>
      </c>
      <c r="R112" s="9" t="s">
        <v>54</v>
      </c>
      <c r="S112" s="9" t="s">
        <v>54</v>
      </c>
      <c r="T112" s="9" t="s">
        <v>54</v>
      </c>
      <c r="U112" s="9" t="s">
        <v>53</v>
      </c>
      <c r="V112" s="9" t="s">
        <v>53</v>
      </c>
      <c r="W112" s="9" t="s">
        <v>54</v>
      </c>
      <c r="X112" s="9" t="s">
        <v>54</v>
      </c>
      <c r="Y112" s="9" t="s">
        <v>54</v>
      </c>
      <c r="Z112" s="18" t="s">
        <v>54</v>
      </c>
      <c r="AA112" s="8" t="s">
        <v>97</v>
      </c>
      <c r="AB112">
        <f t="shared" si="9"/>
        <v>0</v>
      </c>
      <c r="AC112">
        <f t="shared" si="10"/>
        <v>2</v>
      </c>
      <c r="AD112">
        <f t="shared" si="11"/>
        <v>0</v>
      </c>
      <c r="AE112" t="s">
        <v>54</v>
      </c>
      <c r="AF112" t="s">
        <v>66</v>
      </c>
      <c r="AH112" t="s">
        <v>54</v>
      </c>
    </row>
    <row r="113" spans="1:34" x14ac:dyDescent="0.35">
      <c r="A113" t="s">
        <v>588</v>
      </c>
      <c r="B113" t="s">
        <v>589</v>
      </c>
      <c r="C113" s="17" t="s">
        <v>66</v>
      </c>
      <c r="D113">
        <v>2019</v>
      </c>
      <c r="E113" t="s">
        <v>590</v>
      </c>
      <c r="F113" t="s">
        <v>0</v>
      </c>
      <c r="G113" t="s">
        <v>591</v>
      </c>
      <c r="K113" t="s">
        <v>66</v>
      </c>
      <c r="N113" s="1" t="s">
        <v>592</v>
      </c>
      <c r="O113" s="1" t="s">
        <v>593</v>
      </c>
      <c r="P113" s="3" t="s">
        <v>594</v>
      </c>
      <c r="Q113" s="3" t="s">
        <v>66</v>
      </c>
      <c r="R113" s="9" t="s">
        <v>54</v>
      </c>
      <c r="S113" s="9" t="s">
        <v>53</v>
      </c>
      <c r="T113" s="9" t="s">
        <v>53</v>
      </c>
      <c r="U113" s="9" t="s">
        <v>53</v>
      </c>
      <c r="V113" s="9" t="s">
        <v>53</v>
      </c>
      <c r="W113" s="9" t="s">
        <v>53</v>
      </c>
      <c r="X113" s="9" t="s">
        <v>53</v>
      </c>
      <c r="Y113" s="9" t="s">
        <v>54</v>
      </c>
      <c r="Z113" s="18" t="s">
        <v>54</v>
      </c>
      <c r="AA113" s="8" t="s">
        <v>82</v>
      </c>
      <c r="AB113">
        <f t="shared" si="9"/>
        <v>2</v>
      </c>
      <c r="AC113">
        <f t="shared" si="10"/>
        <v>3</v>
      </c>
      <c r="AD113">
        <f t="shared" si="11"/>
        <v>1</v>
      </c>
      <c r="AE113" t="s">
        <v>54</v>
      </c>
      <c r="AF113" t="s">
        <v>66</v>
      </c>
      <c r="AH113" t="s">
        <v>54</v>
      </c>
    </row>
    <row r="114" spans="1:34" ht="29" x14ac:dyDescent="0.35">
      <c r="A114" t="s">
        <v>580</v>
      </c>
      <c r="B114" t="s">
        <v>322</v>
      </c>
      <c r="C114" s="17" t="s">
        <v>66</v>
      </c>
      <c r="D114">
        <v>2017</v>
      </c>
      <c r="E114" t="s">
        <v>122</v>
      </c>
      <c r="F114" t="s">
        <v>10</v>
      </c>
      <c r="K114" t="s">
        <v>66</v>
      </c>
      <c r="N114" s="1" t="s">
        <v>581</v>
      </c>
      <c r="O114" s="1" t="s">
        <v>581</v>
      </c>
      <c r="P114" s="3" t="s">
        <v>66</v>
      </c>
      <c r="Q114" s="3" t="s">
        <v>582</v>
      </c>
      <c r="R114" s="9" t="s">
        <v>53</v>
      </c>
      <c r="S114" s="9" t="s">
        <v>54</v>
      </c>
      <c r="T114" s="9" t="s">
        <v>53</v>
      </c>
      <c r="U114" s="9" t="s">
        <v>53</v>
      </c>
      <c r="V114" s="9" t="s">
        <v>53</v>
      </c>
      <c r="W114" s="9" t="s">
        <v>53</v>
      </c>
      <c r="X114" s="9" t="s">
        <v>53</v>
      </c>
      <c r="Y114" s="9" t="s">
        <v>53</v>
      </c>
      <c r="Z114" s="18" t="s">
        <v>53</v>
      </c>
      <c r="AA114" s="8" t="s">
        <v>82</v>
      </c>
      <c r="AB114">
        <f t="shared" si="9"/>
        <v>2</v>
      </c>
      <c r="AC114">
        <f t="shared" si="10"/>
        <v>3</v>
      </c>
      <c r="AD114">
        <f t="shared" si="11"/>
        <v>3</v>
      </c>
      <c r="AE114" t="s">
        <v>54</v>
      </c>
      <c r="AF114" t="s">
        <v>66</v>
      </c>
      <c r="AH114" t="s">
        <v>54</v>
      </c>
    </row>
    <row r="115" spans="1:34" x14ac:dyDescent="0.35">
      <c r="A115" t="s">
        <v>583</v>
      </c>
      <c r="B115" t="s">
        <v>548</v>
      </c>
      <c r="C115" s="17" t="s">
        <v>66</v>
      </c>
      <c r="D115">
        <v>2017</v>
      </c>
      <c r="E115" t="s">
        <v>122</v>
      </c>
      <c r="F115" t="s">
        <v>10</v>
      </c>
      <c r="K115" t="s">
        <v>66</v>
      </c>
      <c r="M115" t="s">
        <v>584</v>
      </c>
      <c r="N115" s="1" t="s">
        <v>585</v>
      </c>
      <c r="O115" s="1" t="s">
        <v>586</v>
      </c>
      <c r="P115" s="3" t="s">
        <v>322</v>
      </c>
      <c r="Q115" s="3" t="s">
        <v>587</v>
      </c>
      <c r="R115" s="9" t="s">
        <v>53</v>
      </c>
      <c r="S115" s="9" t="s">
        <v>54</v>
      </c>
      <c r="T115" s="9" t="s">
        <v>53</v>
      </c>
      <c r="U115" s="9" t="s">
        <v>53</v>
      </c>
      <c r="V115" s="9" t="s">
        <v>53</v>
      </c>
      <c r="W115" s="9" t="s">
        <v>53</v>
      </c>
      <c r="X115" s="9" t="s">
        <v>53</v>
      </c>
      <c r="Y115" s="9" t="s">
        <v>53</v>
      </c>
      <c r="Z115" s="18" t="s">
        <v>53</v>
      </c>
      <c r="AA115" s="8" t="s">
        <v>82</v>
      </c>
      <c r="AB115">
        <f t="shared" si="9"/>
        <v>2</v>
      </c>
      <c r="AC115">
        <f t="shared" si="10"/>
        <v>3</v>
      </c>
      <c r="AD115">
        <f t="shared" si="11"/>
        <v>3</v>
      </c>
      <c r="AE115" t="s">
        <v>54</v>
      </c>
      <c r="AF115" t="s">
        <v>66</v>
      </c>
      <c r="AH115" t="s">
        <v>54</v>
      </c>
    </row>
    <row r="116" spans="1:34" x14ac:dyDescent="0.35">
      <c r="A116" t="s">
        <v>560</v>
      </c>
      <c r="B116" t="s">
        <v>561</v>
      </c>
      <c r="C116" s="17" t="s">
        <v>66</v>
      </c>
      <c r="D116" t="s">
        <v>66</v>
      </c>
      <c r="E116" t="s">
        <v>101</v>
      </c>
      <c r="F116" t="s">
        <v>0</v>
      </c>
      <c r="G116" t="s">
        <v>1</v>
      </c>
      <c r="K116" t="s">
        <v>66</v>
      </c>
      <c r="M116" t="s">
        <v>562</v>
      </c>
      <c r="N116" t="s">
        <v>66</v>
      </c>
      <c r="O116" s="14" t="s">
        <v>563</v>
      </c>
      <c r="P116" s="3" t="s">
        <v>564</v>
      </c>
      <c r="Q116" s="3" t="s">
        <v>774</v>
      </c>
      <c r="R116" s="9" t="s">
        <v>53</v>
      </c>
      <c r="S116" s="9" t="s">
        <v>53</v>
      </c>
      <c r="T116" s="9" t="s">
        <v>53</v>
      </c>
      <c r="V116" s="9" t="s">
        <v>53</v>
      </c>
      <c r="W116" s="9" t="s">
        <v>54</v>
      </c>
      <c r="X116" s="15"/>
      <c r="Z116" s="18" t="s">
        <v>54</v>
      </c>
      <c r="AA116" s="8" t="s">
        <v>71</v>
      </c>
      <c r="AB116">
        <f t="shared" si="9"/>
        <v>3</v>
      </c>
      <c r="AC116">
        <f t="shared" si="10"/>
        <v>1</v>
      </c>
      <c r="AD116">
        <f t="shared" si="11"/>
        <v>0</v>
      </c>
      <c r="AE116" t="s">
        <v>54</v>
      </c>
      <c r="AF116" t="s">
        <v>66</v>
      </c>
      <c r="AH116" t="s">
        <v>54</v>
      </c>
    </row>
    <row r="117" spans="1:34" x14ac:dyDescent="0.35">
      <c r="A117" t="s">
        <v>868</v>
      </c>
      <c r="B117" t="s">
        <v>869</v>
      </c>
      <c r="C117" s="26" t="s">
        <v>845</v>
      </c>
      <c r="D117">
        <v>2025</v>
      </c>
      <c r="F117" t="s">
        <v>10</v>
      </c>
      <c r="G117" t="s">
        <v>827</v>
      </c>
      <c r="K117" t="s">
        <v>144</v>
      </c>
      <c r="M117" t="s">
        <v>870</v>
      </c>
      <c r="N117" s="4" t="s">
        <v>871</v>
      </c>
      <c r="O117" s="4" t="s">
        <v>871</v>
      </c>
      <c r="P117" s="3" t="s">
        <v>872</v>
      </c>
      <c r="Q117" s="3" t="s">
        <v>873</v>
      </c>
      <c r="R117" s="9" t="s">
        <v>53</v>
      </c>
      <c r="S117" s="9" t="s">
        <v>53</v>
      </c>
      <c r="T117" s="9" t="s">
        <v>53</v>
      </c>
      <c r="U117" s="9" t="s">
        <v>53</v>
      </c>
      <c r="V117" s="9" t="s">
        <v>53</v>
      </c>
      <c r="W117" s="9" t="s">
        <v>53</v>
      </c>
      <c r="X117" s="9" t="s">
        <v>53</v>
      </c>
      <c r="Y117" s="9" t="s">
        <v>53</v>
      </c>
      <c r="Z117" s="9" t="s">
        <v>54</v>
      </c>
      <c r="AB117">
        <f t="shared" si="9"/>
        <v>3</v>
      </c>
      <c r="AC117">
        <f t="shared" si="10"/>
        <v>3</v>
      </c>
      <c r="AD117">
        <f t="shared" si="11"/>
        <v>2</v>
      </c>
      <c r="AE117" t="s">
        <v>53</v>
      </c>
      <c r="AF117" t="s">
        <v>512</v>
      </c>
    </row>
    <row r="118" spans="1:34" x14ac:dyDescent="0.35">
      <c r="A118" t="s">
        <v>846</v>
      </c>
      <c r="B118" t="s">
        <v>507</v>
      </c>
      <c r="C118" s="17" t="s">
        <v>845</v>
      </c>
      <c r="D118">
        <v>2025</v>
      </c>
      <c r="E118" t="s">
        <v>122</v>
      </c>
      <c r="F118" t="s">
        <v>10</v>
      </c>
      <c r="G118" t="s">
        <v>0</v>
      </c>
      <c r="K118" t="s">
        <v>144</v>
      </c>
      <c r="L118" t="s">
        <v>508</v>
      </c>
      <c r="M118" t="s">
        <v>509</v>
      </c>
      <c r="N118" s="2" t="s">
        <v>510</v>
      </c>
      <c r="O118" s="1" t="s">
        <v>510</v>
      </c>
      <c r="P118" s="3" t="s">
        <v>511</v>
      </c>
      <c r="Q118" s="3" t="s">
        <v>856</v>
      </c>
      <c r="R118" s="9" t="s">
        <v>53</v>
      </c>
      <c r="S118" s="9" t="s">
        <v>53</v>
      </c>
      <c r="T118" s="12" t="s">
        <v>53</v>
      </c>
      <c r="U118" s="9" t="s">
        <v>53</v>
      </c>
      <c r="V118" s="9" t="s">
        <v>53</v>
      </c>
      <c r="W118" s="9" t="s">
        <v>53</v>
      </c>
      <c r="X118" s="9" t="s">
        <v>53</v>
      </c>
      <c r="Y118" s="9" t="s">
        <v>53</v>
      </c>
      <c r="Z118" s="18" t="s">
        <v>53</v>
      </c>
      <c r="AA118" s="8" t="s">
        <v>55</v>
      </c>
      <c r="AB118">
        <f t="shared" si="9"/>
        <v>3</v>
      </c>
      <c r="AC118">
        <f t="shared" si="10"/>
        <v>3</v>
      </c>
      <c r="AD118">
        <f t="shared" si="11"/>
        <v>3</v>
      </c>
      <c r="AE118" t="s">
        <v>53</v>
      </c>
      <c r="AF118" t="s">
        <v>512</v>
      </c>
      <c r="AH118" t="s">
        <v>54</v>
      </c>
    </row>
    <row r="119" spans="1:34" x14ac:dyDescent="0.35">
      <c r="A119" t="s">
        <v>550</v>
      </c>
      <c r="B119" t="s">
        <v>511</v>
      </c>
      <c r="C119" s="17" t="s">
        <v>853</v>
      </c>
      <c r="D119">
        <v>2024</v>
      </c>
      <c r="E119" t="s">
        <v>122</v>
      </c>
      <c r="F119" t="s">
        <v>10</v>
      </c>
      <c r="K119" t="s">
        <v>144</v>
      </c>
      <c r="M119" t="s">
        <v>551</v>
      </c>
      <c r="N119" s="2" t="s">
        <v>552</v>
      </c>
      <c r="O119" s="1" t="s">
        <v>552</v>
      </c>
      <c r="P119" s="3" t="s">
        <v>531</v>
      </c>
      <c r="Q119" s="3" t="s">
        <v>775</v>
      </c>
      <c r="R119" s="9" t="s">
        <v>53</v>
      </c>
      <c r="S119" s="9" t="s">
        <v>53</v>
      </c>
      <c r="T119" s="9" t="s">
        <v>54</v>
      </c>
      <c r="U119" s="9" t="s">
        <v>53</v>
      </c>
      <c r="V119" s="9" t="s">
        <v>53</v>
      </c>
      <c r="W119" s="9" t="s">
        <v>53</v>
      </c>
      <c r="X119" s="9" t="s">
        <v>53</v>
      </c>
      <c r="Y119" s="9" t="s">
        <v>53</v>
      </c>
      <c r="Z119" s="18" t="s">
        <v>53</v>
      </c>
      <c r="AA119" s="8" t="s">
        <v>55</v>
      </c>
      <c r="AB119">
        <f t="shared" si="9"/>
        <v>2</v>
      </c>
      <c r="AC119">
        <f t="shared" si="10"/>
        <v>3</v>
      </c>
      <c r="AD119">
        <f t="shared" si="11"/>
        <v>3</v>
      </c>
      <c r="AE119" t="s">
        <v>53</v>
      </c>
      <c r="AF119" t="s">
        <v>512</v>
      </c>
      <c r="AH119" t="s">
        <v>54</v>
      </c>
    </row>
    <row r="120" spans="1:34" x14ac:dyDescent="0.35">
      <c r="A120" t="s">
        <v>874</v>
      </c>
      <c r="B120" t="s">
        <v>875</v>
      </c>
      <c r="C120" s="26" t="s">
        <v>845</v>
      </c>
      <c r="D120">
        <v>2025</v>
      </c>
      <c r="F120" t="s">
        <v>10</v>
      </c>
      <c r="K120" t="s">
        <v>144</v>
      </c>
      <c r="M120" t="s">
        <v>882</v>
      </c>
      <c r="N120" s="4" t="s">
        <v>876</v>
      </c>
      <c r="O120" s="4" t="s">
        <v>876</v>
      </c>
      <c r="P120" s="3" t="s">
        <v>877</v>
      </c>
      <c r="Q120" s="3" t="s">
        <v>878</v>
      </c>
      <c r="R120" s="9" t="s">
        <v>53</v>
      </c>
      <c r="S120" s="9" t="s">
        <v>53</v>
      </c>
      <c r="T120" s="9" t="s">
        <v>53</v>
      </c>
      <c r="U120" s="9" t="s">
        <v>53</v>
      </c>
      <c r="V120" s="9" t="s">
        <v>53</v>
      </c>
      <c r="W120" s="9" t="s">
        <v>53</v>
      </c>
      <c r="X120" s="9" t="s">
        <v>53</v>
      </c>
      <c r="Y120" s="9" t="s">
        <v>53</v>
      </c>
      <c r="Z120" s="9" t="s">
        <v>54</v>
      </c>
      <c r="AB120">
        <f t="shared" si="9"/>
        <v>3</v>
      </c>
      <c r="AC120">
        <f t="shared" si="10"/>
        <v>3</v>
      </c>
      <c r="AD120">
        <f t="shared" si="11"/>
        <v>2</v>
      </c>
      <c r="AE120" t="s">
        <v>53</v>
      </c>
      <c r="AF120" t="s">
        <v>512</v>
      </c>
    </row>
    <row r="121" spans="1:34" x14ac:dyDescent="0.35">
      <c r="A121" t="s">
        <v>847</v>
      </c>
      <c r="B121" t="s">
        <v>517</v>
      </c>
      <c r="C121" s="17" t="s">
        <v>845</v>
      </c>
      <c r="D121">
        <v>2025</v>
      </c>
      <c r="E121" t="s">
        <v>122</v>
      </c>
      <c r="F121" t="s">
        <v>10</v>
      </c>
      <c r="G121" t="s">
        <v>4</v>
      </c>
      <c r="K121" t="s">
        <v>144</v>
      </c>
      <c r="M121" t="s">
        <v>518</v>
      </c>
      <c r="N121" s="2" t="s">
        <v>519</v>
      </c>
      <c r="O121" s="1" t="s">
        <v>519</v>
      </c>
      <c r="P121" s="3" t="s">
        <v>511</v>
      </c>
      <c r="Q121" s="3" t="s">
        <v>776</v>
      </c>
      <c r="R121" s="9" t="s">
        <v>53</v>
      </c>
      <c r="S121" s="9" t="s">
        <v>53</v>
      </c>
      <c r="T121" s="10" t="s">
        <v>54</v>
      </c>
      <c r="U121" s="9" t="s">
        <v>53</v>
      </c>
      <c r="V121" s="9" t="s">
        <v>53</v>
      </c>
      <c r="W121" s="9" t="s">
        <v>53</v>
      </c>
      <c r="X121" s="9" t="s">
        <v>53</v>
      </c>
      <c r="Y121" s="9" t="s">
        <v>53</v>
      </c>
      <c r="Z121" s="18" t="s">
        <v>54</v>
      </c>
      <c r="AA121" s="8" t="s">
        <v>55</v>
      </c>
      <c r="AB121">
        <f t="shared" si="9"/>
        <v>2</v>
      </c>
      <c r="AC121">
        <f t="shared" si="10"/>
        <v>3</v>
      </c>
      <c r="AD121">
        <f t="shared" si="11"/>
        <v>2</v>
      </c>
      <c r="AE121" t="s">
        <v>53</v>
      </c>
      <c r="AF121" t="s">
        <v>512</v>
      </c>
      <c r="AH121" t="s">
        <v>54</v>
      </c>
    </row>
    <row r="122" spans="1:34" x14ac:dyDescent="0.35">
      <c r="A122" t="s">
        <v>852</v>
      </c>
      <c r="B122" t="s">
        <v>520</v>
      </c>
      <c r="C122" s="17" t="s">
        <v>845</v>
      </c>
      <c r="D122">
        <v>2025</v>
      </c>
      <c r="E122" t="s">
        <v>122</v>
      </c>
      <c r="F122" t="s">
        <v>10</v>
      </c>
      <c r="G122" t="s">
        <v>521</v>
      </c>
      <c r="K122" t="s">
        <v>144</v>
      </c>
      <c r="M122" t="s">
        <v>522</v>
      </c>
      <c r="N122" s="2" t="s">
        <v>523</v>
      </c>
      <c r="O122" s="1" t="s">
        <v>523</v>
      </c>
      <c r="P122" s="3" t="s">
        <v>511</v>
      </c>
      <c r="Q122" s="3" t="s">
        <v>855</v>
      </c>
      <c r="R122" s="9" t="s">
        <v>53</v>
      </c>
      <c r="S122" s="9" t="s">
        <v>53</v>
      </c>
      <c r="T122" s="10" t="s">
        <v>54</v>
      </c>
      <c r="U122" s="9" t="s">
        <v>53</v>
      </c>
      <c r="V122" s="9" t="s">
        <v>53</v>
      </c>
      <c r="W122" s="9" t="s">
        <v>53</v>
      </c>
      <c r="X122" s="9" t="s">
        <v>53</v>
      </c>
      <c r="Y122" s="9" t="s">
        <v>53</v>
      </c>
      <c r="Z122" s="18" t="s">
        <v>54</v>
      </c>
      <c r="AA122" s="8" t="s">
        <v>55</v>
      </c>
      <c r="AB122">
        <f t="shared" si="9"/>
        <v>2</v>
      </c>
      <c r="AC122">
        <f t="shared" si="10"/>
        <v>3</v>
      </c>
      <c r="AD122">
        <f t="shared" si="11"/>
        <v>2</v>
      </c>
      <c r="AE122" t="s">
        <v>53</v>
      </c>
      <c r="AF122" t="s">
        <v>512</v>
      </c>
      <c r="AH122" t="s">
        <v>54</v>
      </c>
    </row>
    <row r="123" spans="1:34" x14ac:dyDescent="0.35">
      <c r="A123" t="s">
        <v>879</v>
      </c>
      <c r="B123" t="s">
        <v>880</v>
      </c>
      <c r="C123" s="26" t="s">
        <v>845</v>
      </c>
      <c r="D123">
        <v>2025</v>
      </c>
      <c r="F123" t="s">
        <v>10</v>
      </c>
      <c r="G123" t="s">
        <v>830</v>
      </c>
      <c r="K123" t="s">
        <v>144</v>
      </c>
      <c r="M123" t="s">
        <v>881</v>
      </c>
      <c r="N123" s="4" t="s">
        <v>883</v>
      </c>
      <c r="O123" s="4" t="s">
        <v>883</v>
      </c>
      <c r="P123" s="3" t="s">
        <v>511</v>
      </c>
      <c r="Q123" s="3" t="s">
        <v>884</v>
      </c>
      <c r="R123" s="9" t="s">
        <v>53</v>
      </c>
      <c r="S123" s="9" t="s">
        <v>53</v>
      </c>
      <c r="T123" s="9" t="s">
        <v>54</v>
      </c>
      <c r="U123" s="9" t="s">
        <v>53</v>
      </c>
      <c r="V123" s="9" t="s">
        <v>53</v>
      </c>
      <c r="W123" s="9" t="s">
        <v>53</v>
      </c>
      <c r="X123" s="9" t="s">
        <v>53</v>
      </c>
      <c r="Y123" s="9" t="s">
        <v>53</v>
      </c>
      <c r="Z123" s="9" t="s">
        <v>54</v>
      </c>
      <c r="AB123">
        <f t="shared" si="9"/>
        <v>2</v>
      </c>
      <c r="AC123">
        <f t="shared" si="10"/>
        <v>3</v>
      </c>
      <c r="AD123">
        <f t="shared" si="11"/>
        <v>2</v>
      </c>
      <c r="AE123" t="s">
        <v>53</v>
      </c>
      <c r="AF123" t="s">
        <v>512</v>
      </c>
    </row>
    <row r="124" spans="1:34" x14ac:dyDescent="0.35">
      <c r="A124" t="s">
        <v>862</v>
      </c>
      <c r="B124" t="s">
        <v>861</v>
      </c>
      <c r="C124" s="26" t="s">
        <v>845</v>
      </c>
      <c r="D124">
        <v>2025</v>
      </c>
      <c r="F124" t="s">
        <v>10</v>
      </c>
      <c r="K124" t="s">
        <v>144</v>
      </c>
      <c r="M124" t="s">
        <v>863</v>
      </c>
      <c r="N124" s="4" t="s">
        <v>864</v>
      </c>
      <c r="O124" s="4" t="s">
        <v>865</v>
      </c>
      <c r="P124" s="3" t="s">
        <v>866</v>
      </c>
      <c r="Q124" s="3" t="s">
        <v>867</v>
      </c>
      <c r="R124" s="9" t="s">
        <v>53</v>
      </c>
      <c r="S124" s="9" t="s">
        <v>53</v>
      </c>
      <c r="T124" s="9" t="s">
        <v>53</v>
      </c>
      <c r="U124" s="9" t="s">
        <v>53</v>
      </c>
      <c r="V124" s="9" t="s">
        <v>53</v>
      </c>
      <c r="W124" s="9" t="s">
        <v>53</v>
      </c>
      <c r="X124" s="9" t="s">
        <v>53</v>
      </c>
      <c r="Y124" s="9" t="s">
        <v>53</v>
      </c>
      <c r="Z124" s="9" t="s">
        <v>54</v>
      </c>
      <c r="AB124">
        <f t="shared" si="9"/>
        <v>3</v>
      </c>
      <c r="AC124">
        <f t="shared" si="10"/>
        <v>3</v>
      </c>
      <c r="AD124">
        <f t="shared" si="11"/>
        <v>2</v>
      </c>
      <c r="AE124" t="s">
        <v>53</v>
      </c>
      <c r="AF124" t="s">
        <v>512</v>
      </c>
    </row>
    <row r="125" spans="1:34" x14ac:dyDescent="0.35">
      <c r="A125" t="s">
        <v>848</v>
      </c>
      <c r="B125" t="s">
        <v>513</v>
      </c>
      <c r="C125" s="17" t="s">
        <v>845</v>
      </c>
      <c r="D125">
        <v>2025</v>
      </c>
      <c r="E125" t="s">
        <v>122</v>
      </c>
      <c r="F125" t="s">
        <v>10</v>
      </c>
      <c r="G125" t="s">
        <v>7</v>
      </c>
      <c r="K125" t="s">
        <v>144</v>
      </c>
      <c r="M125" t="s">
        <v>515</v>
      </c>
      <c r="N125" s="29" t="s">
        <v>925</v>
      </c>
      <c r="O125" s="1" t="s">
        <v>516</v>
      </c>
      <c r="P125" s="3" t="s">
        <v>511</v>
      </c>
      <c r="Q125" s="3" t="s">
        <v>858</v>
      </c>
      <c r="R125" s="9" t="s">
        <v>53</v>
      </c>
      <c r="S125" s="9" t="s">
        <v>53</v>
      </c>
      <c r="T125" s="10" t="s">
        <v>54</v>
      </c>
      <c r="U125" s="9" t="s">
        <v>53</v>
      </c>
      <c r="V125" s="9" t="s">
        <v>53</v>
      </c>
      <c r="W125" s="9" t="s">
        <v>53</v>
      </c>
      <c r="X125" s="9" t="s">
        <v>53</v>
      </c>
      <c r="Y125" s="9" t="s">
        <v>53</v>
      </c>
      <c r="Z125" s="18" t="s">
        <v>53</v>
      </c>
      <c r="AA125" s="8" t="s">
        <v>55</v>
      </c>
      <c r="AB125">
        <f t="shared" si="9"/>
        <v>2</v>
      </c>
      <c r="AC125">
        <f t="shared" si="10"/>
        <v>3</v>
      </c>
      <c r="AD125">
        <f t="shared" si="11"/>
        <v>3</v>
      </c>
      <c r="AE125" t="s">
        <v>53</v>
      </c>
      <c r="AF125" t="s">
        <v>512</v>
      </c>
      <c r="AH125" t="s">
        <v>54</v>
      </c>
    </row>
    <row r="126" spans="1:34" x14ac:dyDescent="0.35">
      <c r="A126" t="s">
        <v>851</v>
      </c>
      <c r="B126" t="s">
        <v>524</v>
      </c>
      <c r="C126" s="17" t="s">
        <v>845</v>
      </c>
      <c r="D126">
        <v>2025</v>
      </c>
      <c r="E126" t="s">
        <v>122</v>
      </c>
      <c r="F126" t="s">
        <v>10</v>
      </c>
      <c r="G126" t="s">
        <v>4</v>
      </c>
      <c r="K126" t="s">
        <v>144</v>
      </c>
      <c r="M126" t="s">
        <v>525</v>
      </c>
      <c r="N126" s="2" t="s">
        <v>526</v>
      </c>
      <c r="O126" s="1" t="s">
        <v>526</v>
      </c>
      <c r="P126" s="3" t="s">
        <v>511</v>
      </c>
      <c r="Q126" s="3" t="s">
        <v>777</v>
      </c>
      <c r="R126" s="9" t="s">
        <v>53</v>
      </c>
      <c r="S126" s="9" t="s">
        <v>53</v>
      </c>
      <c r="T126" s="10" t="s">
        <v>54</v>
      </c>
      <c r="U126" s="9" t="s">
        <v>53</v>
      </c>
      <c r="V126" s="9" t="s">
        <v>53</v>
      </c>
      <c r="W126" s="9" t="s">
        <v>53</v>
      </c>
      <c r="X126" s="9" t="s">
        <v>53</v>
      </c>
      <c r="Y126" s="9" t="s">
        <v>53</v>
      </c>
      <c r="Z126" s="18" t="s">
        <v>54</v>
      </c>
      <c r="AA126" s="8" t="s">
        <v>55</v>
      </c>
      <c r="AB126">
        <f t="shared" si="9"/>
        <v>2</v>
      </c>
      <c r="AC126">
        <f t="shared" si="10"/>
        <v>3</v>
      </c>
      <c r="AD126">
        <f t="shared" si="11"/>
        <v>2</v>
      </c>
      <c r="AE126" t="s">
        <v>53</v>
      </c>
      <c r="AF126" t="s">
        <v>512</v>
      </c>
      <c r="AH126" t="s">
        <v>54</v>
      </c>
    </row>
    <row r="127" spans="1:34" x14ac:dyDescent="0.35">
      <c r="A127" t="s">
        <v>850</v>
      </c>
      <c r="B127" t="s">
        <v>527</v>
      </c>
      <c r="C127" s="17" t="s">
        <v>845</v>
      </c>
      <c r="D127">
        <v>2025</v>
      </c>
      <c r="E127" t="s">
        <v>122</v>
      </c>
      <c r="F127" t="s">
        <v>10</v>
      </c>
      <c r="G127" t="s">
        <v>0</v>
      </c>
      <c r="K127" t="s">
        <v>144</v>
      </c>
      <c r="M127" t="s">
        <v>528</v>
      </c>
      <c r="N127" s="2" t="s">
        <v>529</v>
      </c>
      <c r="O127" s="1" t="s">
        <v>529</v>
      </c>
      <c r="P127" s="3" t="s">
        <v>530</v>
      </c>
      <c r="Q127" s="3" t="s">
        <v>860</v>
      </c>
      <c r="R127" s="9" t="s">
        <v>53</v>
      </c>
      <c r="S127" s="9" t="s">
        <v>53</v>
      </c>
      <c r="T127" s="9" t="s">
        <v>53</v>
      </c>
      <c r="U127" s="9" t="s">
        <v>53</v>
      </c>
      <c r="V127" s="9" t="s">
        <v>53</v>
      </c>
      <c r="W127" s="9" t="s">
        <v>53</v>
      </c>
      <c r="X127" s="9" t="s">
        <v>53</v>
      </c>
      <c r="Y127" s="9" t="s">
        <v>53</v>
      </c>
      <c r="Z127" s="18" t="s">
        <v>54</v>
      </c>
      <c r="AA127" s="8" t="s">
        <v>55</v>
      </c>
      <c r="AB127">
        <f t="shared" si="9"/>
        <v>3</v>
      </c>
      <c r="AC127">
        <f t="shared" si="10"/>
        <v>3</v>
      </c>
      <c r="AD127">
        <f t="shared" si="11"/>
        <v>2</v>
      </c>
      <c r="AE127" t="s">
        <v>53</v>
      </c>
      <c r="AF127" t="s">
        <v>512</v>
      </c>
      <c r="AH127" t="s">
        <v>54</v>
      </c>
    </row>
    <row r="128" spans="1:34" x14ac:dyDescent="0.35">
      <c r="A128" t="s">
        <v>854</v>
      </c>
      <c r="B128" t="s">
        <v>531</v>
      </c>
      <c r="C128" s="17" t="s">
        <v>514</v>
      </c>
      <c r="D128">
        <v>2020</v>
      </c>
      <c r="E128" t="s">
        <v>122</v>
      </c>
      <c r="F128" t="s">
        <v>10</v>
      </c>
      <c r="K128" t="s">
        <v>144</v>
      </c>
      <c r="M128" t="s">
        <v>532</v>
      </c>
      <c r="N128" s="2" t="s">
        <v>533</v>
      </c>
      <c r="O128" s="1" t="s">
        <v>533</v>
      </c>
      <c r="P128" s="3" t="s">
        <v>66</v>
      </c>
      <c r="Q128" s="3" t="s">
        <v>778</v>
      </c>
      <c r="R128" s="9" t="s">
        <v>53</v>
      </c>
      <c r="S128" s="9" t="s">
        <v>53</v>
      </c>
      <c r="T128" s="10" t="s">
        <v>54</v>
      </c>
      <c r="U128" s="9" t="s">
        <v>53</v>
      </c>
      <c r="V128" s="9" t="s">
        <v>53</v>
      </c>
      <c r="W128" s="9" t="s">
        <v>53</v>
      </c>
      <c r="X128" s="9" t="s">
        <v>53</v>
      </c>
      <c r="Y128" s="9" t="s">
        <v>53</v>
      </c>
      <c r="Z128" s="18" t="s">
        <v>53</v>
      </c>
      <c r="AA128" s="8" t="s">
        <v>55</v>
      </c>
      <c r="AB128">
        <f t="shared" si="9"/>
        <v>2</v>
      </c>
      <c r="AC128">
        <f t="shared" si="10"/>
        <v>3</v>
      </c>
      <c r="AD128">
        <f t="shared" si="11"/>
        <v>3</v>
      </c>
      <c r="AE128" t="s">
        <v>53</v>
      </c>
      <c r="AF128" t="s">
        <v>512</v>
      </c>
      <c r="AH128" t="s">
        <v>54</v>
      </c>
    </row>
    <row r="129" spans="1:34" x14ac:dyDescent="0.35">
      <c r="A129" t="s">
        <v>849</v>
      </c>
      <c r="B129" t="s">
        <v>534</v>
      </c>
      <c r="C129" s="17" t="s">
        <v>845</v>
      </c>
      <c r="D129">
        <v>2025</v>
      </c>
      <c r="E129" t="s">
        <v>122</v>
      </c>
      <c r="F129" t="s">
        <v>10</v>
      </c>
      <c r="G129" t="s">
        <v>535</v>
      </c>
      <c r="K129" t="s">
        <v>144</v>
      </c>
      <c r="M129" t="s">
        <v>536</v>
      </c>
      <c r="N129" s="2" t="s">
        <v>537</v>
      </c>
      <c r="O129" s="1" t="s">
        <v>537</v>
      </c>
      <c r="P129" s="3" t="s">
        <v>859</v>
      </c>
      <c r="Q129" s="3" t="s">
        <v>779</v>
      </c>
      <c r="R129" s="9" t="s">
        <v>53</v>
      </c>
      <c r="S129" s="9" t="s">
        <v>53</v>
      </c>
      <c r="T129" s="10" t="s">
        <v>54</v>
      </c>
      <c r="U129" s="9" t="s">
        <v>53</v>
      </c>
      <c r="V129" s="9" t="s">
        <v>53</v>
      </c>
      <c r="W129" s="9" t="s">
        <v>53</v>
      </c>
      <c r="X129" s="9" t="s">
        <v>53</v>
      </c>
      <c r="Y129" s="9" t="s">
        <v>53</v>
      </c>
      <c r="Z129" s="18" t="s">
        <v>54</v>
      </c>
      <c r="AA129" s="8" t="s">
        <v>55</v>
      </c>
      <c r="AB129">
        <f t="shared" si="9"/>
        <v>2</v>
      </c>
      <c r="AC129">
        <f t="shared" si="10"/>
        <v>3</v>
      </c>
      <c r="AD129">
        <f t="shared" si="11"/>
        <v>2</v>
      </c>
      <c r="AE129" t="s">
        <v>53</v>
      </c>
      <c r="AF129" t="s">
        <v>512</v>
      </c>
      <c r="AH129" t="s">
        <v>54</v>
      </c>
    </row>
    <row r="130" spans="1:34" x14ac:dyDescent="0.35">
      <c r="A130" t="s">
        <v>885</v>
      </c>
      <c r="B130" t="s">
        <v>886</v>
      </c>
      <c r="C130" s="26" t="s">
        <v>845</v>
      </c>
      <c r="D130">
        <v>2025</v>
      </c>
      <c r="F130" t="s">
        <v>10</v>
      </c>
      <c r="K130" t="s">
        <v>144</v>
      </c>
      <c r="M130" t="s">
        <v>887</v>
      </c>
      <c r="N130" s="4" t="s">
        <v>888</v>
      </c>
      <c r="O130" s="4" t="s">
        <v>888</v>
      </c>
      <c r="P130" s="3" t="s">
        <v>889</v>
      </c>
      <c r="Q130" s="3" t="s">
        <v>890</v>
      </c>
      <c r="R130" s="9" t="s">
        <v>53</v>
      </c>
      <c r="S130" s="9" t="s">
        <v>53</v>
      </c>
      <c r="T130" s="9" t="s">
        <v>53</v>
      </c>
      <c r="U130" s="9" t="s">
        <v>53</v>
      </c>
      <c r="V130" s="9" t="s">
        <v>53</v>
      </c>
      <c r="W130" s="9" t="s">
        <v>53</v>
      </c>
      <c r="X130" s="9" t="s">
        <v>53</v>
      </c>
      <c r="Y130" s="9" t="s">
        <v>53</v>
      </c>
      <c r="Z130" s="9" t="s">
        <v>53</v>
      </c>
      <c r="AB130">
        <f t="shared" ref="AB130:AB140" si="12">COUNTIF(R130:T130, "yes")</f>
        <v>3</v>
      </c>
      <c r="AC130">
        <f t="shared" ref="AC130:AC140" si="13">COUNTIF(U130:W130, "yes")</f>
        <v>3</v>
      </c>
      <c r="AD130">
        <f t="shared" ref="AD130:AD140" si="14">COUNTIF(X130:Z130, "yes")</f>
        <v>3</v>
      </c>
      <c r="AE130" t="s">
        <v>53</v>
      </c>
      <c r="AF130" t="s">
        <v>512</v>
      </c>
    </row>
    <row r="131" spans="1:34" x14ac:dyDescent="0.35">
      <c r="A131" t="s">
        <v>553</v>
      </c>
      <c r="B131" t="s">
        <v>554</v>
      </c>
      <c r="C131" s="17">
        <v>0.6</v>
      </c>
      <c r="D131">
        <v>2020</v>
      </c>
      <c r="E131" t="s">
        <v>555</v>
      </c>
      <c r="F131" t="s">
        <v>6</v>
      </c>
      <c r="G131" t="s">
        <v>17</v>
      </c>
      <c r="K131" t="s">
        <v>556</v>
      </c>
      <c r="M131" t="s">
        <v>557</v>
      </c>
      <c r="N131" s="1" t="s">
        <v>558</v>
      </c>
      <c r="O131" s="1" t="s">
        <v>558</v>
      </c>
      <c r="P131" s="3" t="s">
        <v>559</v>
      </c>
      <c r="Q131" s="3" t="s">
        <v>780</v>
      </c>
      <c r="R131" s="9" t="s">
        <v>53</v>
      </c>
      <c r="S131" s="9" t="s">
        <v>53</v>
      </c>
      <c r="T131" s="9" t="s">
        <v>54</v>
      </c>
      <c r="U131" s="9" t="s">
        <v>53</v>
      </c>
      <c r="V131" s="9" t="s">
        <v>53</v>
      </c>
      <c r="W131" s="9" t="s">
        <v>53</v>
      </c>
      <c r="X131" s="9" t="s">
        <v>53</v>
      </c>
      <c r="Y131" s="9" t="s">
        <v>53</v>
      </c>
      <c r="Z131" s="18" t="s">
        <v>54</v>
      </c>
      <c r="AA131" s="8" t="s">
        <v>97</v>
      </c>
      <c r="AB131">
        <f t="shared" si="12"/>
        <v>2</v>
      </c>
      <c r="AC131">
        <f t="shared" si="13"/>
        <v>3</v>
      </c>
      <c r="AD131">
        <f t="shared" si="14"/>
        <v>2</v>
      </c>
      <c r="AE131" t="s">
        <v>54</v>
      </c>
      <c r="AF131" t="s">
        <v>66</v>
      </c>
      <c r="AH131" t="s">
        <v>54</v>
      </c>
    </row>
    <row r="132" spans="1:34" x14ac:dyDescent="0.35">
      <c r="A132" t="s">
        <v>573</v>
      </c>
      <c r="B132" t="s">
        <v>139</v>
      </c>
      <c r="C132" s="17">
        <v>1.1000000000000001</v>
      </c>
      <c r="D132">
        <v>2017</v>
      </c>
      <c r="E132" t="s">
        <v>219</v>
      </c>
      <c r="F132" t="s">
        <v>4</v>
      </c>
      <c r="G132" t="s">
        <v>0</v>
      </c>
      <c r="K132" t="s">
        <v>192</v>
      </c>
      <c r="N132" s="1" t="s">
        <v>574</v>
      </c>
      <c r="O132" s="1" t="s">
        <v>575</v>
      </c>
      <c r="P132" s="3" t="s">
        <v>66</v>
      </c>
      <c r="Q132" s="3" t="s">
        <v>781</v>
      </c>
      <c r="R132" s="9" t="s">
        <v>53</v>
      </c>
      <c r="S132" s="9" t="s">
        <v>53</v>
      </c>
      <c r="T132" s="9" t="s">
        <v>53</v>
      </c>
      <c r="U132" s="9" t="s">
        <v>53</v>
      </c>
      <c r="V132" s="9" t="s">
        <v>53</v>
      </c>
      <c r="W132" s="9" t="s">
        <v>53</v>
      </c>
      <c r="X132" s="9" t="s">
        <v>53</v>
      </c>
      <c r="Y132" s="9" t="s">
        <v>53</v>
      </c>
      <c r="Z132" s="18" t="s">
        <v>53</v>
      </c>
      <c r="AA132" s="8" t="s">
        <v>91</v>
      </c>
      <c r="AB132">
        <f t="shared" si="12"/>
        <v>3</v>
      </c>
      <c r="AC132">
        <f t="shared" si="13"/>
        <v>3</v>
      </c>
      <c r="AD132">
        <f t="shared" si="14"/>
        <v>3</v>
      </c>
      <c r="AE132" t="s">
        <v>54</v>
      </c>
      <c r="AF132" t="s">
        <v>66</v>
      </c>
      <c r="AH132" t="s">
        <v>54</v>
      </c>
    </row>
    <row r="133" spans="1:34" x14ac:dyDescent="0.35">
      <c r="A133" t="s">
        <v>576</v>
      </c>
      <c r="B133" t="s">
        <v>577</v>
      </c>
      <c r="C133" s="17" t="s">
        <v>66</v>
      </c>
      <c r="D133">
        <v>2024</v>
      </c>
      <c r="E133" t="s">
        <v>2</v>
      </c>
      <c r="F133" t="s">
        <v>2</v>
      </c>
      <c r="G133" t="s">
        <v>11</v>
      </c>
      <c r="K133" t="s">
        <v>66</v>
      </c>
      <c r="N133" t="s">
        <v>66</v>
      </c>
      <c r="O133" s="1" t="s">
        <v>578</v>
      </c>
      <c r="P133" s="3" t="s">
        <v>579</v>
      </c>
      <c r="Q133" s="21" t="s">
        <v>66</v>
      </c>
      <c r="R133" s="9" t="s">
        <v>54</v>
      </c>
      <c r="S133" s="9" t="s">
        <v>53</v>
      </c>
      <c r="T133" s="9" t="s">
        <v>54</v>
      </c>
      <c r="U133" s="9" t="s">
        <v>54</v>
      </c>
      <c r="V133" s="9" t="s">
        <v>54</v>
      </c>
      <c r="W133" s="9" t="s">
        <v>54</v>
      </c>
      <c r="X133" s="9" t="s">
        <v>53</v>
      </c>
      <c r="Y133" s="9" t="s">
        <v>54</v>
      </c>
      <c r="Z133" s="18" t="s">
        <v>54</v>
      </c>
      <c r="AA133" s="8" t="s">
        <v>97</v>
      </c>
      <c r="AB133">
        <f t="shared" si="12"/>
        <v>1</v>
      </c>
      <c r="AC133">
        <f t="shared" si="13"/>
        <v>0</v>
      </c>
      <c r="AD133">
        <f t="shared" si="14"/>
        <v>1</v>
      </c>
      <c r="AE133" t="s">
        <v>54</v>
      </c>
      <c r="AF133" t="s">
        <v>66</v>
      </c>
      <c r="AH133" t="s">
        <v>54</v>
      </c>
    </row>
    <row r="134" spans="1:34" x14ac:dyDescent="0.35">
      <c r="A134" t="s">
        <v>544</v>
      </c>
      <c r="B134" t="s">
        <v>545</v>
      </c>
      <c r="C134" s="17" t="s">
        <v>66</v>
      </c>
      <c r="D134">
        <v>2016</v>
      </c>
      <c r="F134" t="s">
        <v>10</v>
      </c>
      <c r="K134" t="s">
        <v>325</v>
      </c>
      <c r="M134" t="s">
        <v>546</v>
      </c>
      <c r="N134" s="1" t="s">
        <v>547</v>
      </c>
      <c r="O134" s="1" t="s">
        <v>547</v>
      </c>
      <c r="P134" s="3" t="s">
        <v>548</v>
      </c>
      <c r="Q134" s="3" t="s">
        <v>549</v>
      </c>
      <c r="R134" s="9" t="s">
        <v>53</v>
      </c>
      <c r="S134" s="9" t="s">
        <v>53</v>
      </c>
      <c r="T134" s="9" t="s">
        <v>53</v>
      </c>
      <c r="U134" s="9" t="s">
        <v>53</v>
      </c>
      <c r="V134" s="9" t="s">
        <v>53</v>
      </c>
      <c r="W134" s="9" t="s">
        <v>53</v>
      </c>
      <c r="X134" s="9" t="s">
        <v>53</v>
      </c>
      <c r="Y134" s="9" t="s">
        <v>54</v>
      </c>
      <c r="Z134" s="18" t="s">
        <v>54</v>
      </c>
      <c r="AA134" s="8" t="s">
        <v>82</v>
      </c>
      <c r="AB134">
        <f t="shared" si="12"/>
        <v>3</v>
      </c>
      <c r="AC134">
        <f t="shared" si="13"/>
        <v>3</v>
      </c>
      <c r="AD134">
        <f t="shared" si="14"/>
        <v>1</v>
      </c>
      <c r="AE134" t="s">
        <v>54</v>
      </c>
      <c r="AF134" t="s">
        <v>66</v>
      </c>
      <c r="AH134" t="s">
        <v>54</v>
      </c>
    </row>
    <row r="135" spans="1:34" s="25" customFormat="1" x14ac:dyDescent="0.35">
      <c r="A135" s="5" t="s">
        <v>662</v>
      </c>
      <c r="B135" t="s">
        <v>663</v>
      </c>
      <c r="C135" s="17" t="s">
        <v>66</v>
      </c>
      <c r="D135">
        <v>2024</v>
      </c>
      <c r="E135"/>
      <c r="F135" t="s">
        <v>17</v>
      </c>
      <c r="G135"/>
      <c r="H135"/>
      <c r="I135"/>
      <c r="J135"/>
      <c r="K135" t="s">
        <v>184</v>
      </c>
      <c r="L135"/>
      <c r="M135" t="s">
        <v>664</v>
      </c>
      <c r="N135" s="1" t="s">
        <v>665</v>
      </c>
      <c r="O135" s="1" t="s">
        <v>666</v>
      </c>
      <c r="P135" s="3" t="s">
        <v>667</v>
      </c>
      <c r="Q135" s="3" t="s">
        <v>668</v>
      </c>
      <c r="R135" s="9" t="s">
        <v>53</v>
      </c>
      <c r="S135" s="9" t="s">
        <v>53</v>
      </c>
      <c r="T135" s="9" t="s">
        <v>53</v>
      </c>
      <c r="U135" s="9" t="s">
        <v>53</v>
      </c>
      <c r="V135" s="9" t="s">
        <v>53</v>
      </c>
      <c r="W135" s="9" t="s">
        <v>53</v>
      </c>
      <c r="X135" s="9" t="s">
        <v>53</v>
      </c>
      <c r="Y135" s="9" t="s">
        <v>53</v>
      </c>
      <c r="Z135" s="18" t="s">
        <v>54</v>
      </c>
      <c r="AA135" s="8"/>
      <c r="AB135">
        <f t="shared" si="12"/>
        <v>3</v>
      </c>
      <c r="AC135">
        <f t="shared" si="13"/>
        <v>3</v>
      </c>
      <c r="AD135">
        <f t="shared" si="14"/>
        <v>2</v>
      </c>
      <c r="AE135" t="s">
        <v>54</v>
      </c>
      <c r="AF135" t="s">
        <v>66</v>
      </c>
      <c r="AG135"/>
      <c r="AH135" t="s">
        <v>54</v>
      </c>
    </row>
    <row r="136" spans="1:34" s="25" customFormat="1" x14ac:dyDescent="0.35">
      <c r="A136" t="s">
        <v>610</v>
      </c>
      <c r="B136" s="6" t="s">
        <v>611</v>
      </c>
      <c r="C136" s="17">
        <v>1.1399999999999999</v>
      </c>
      <c r="D136">
        <v>2013</v>
      </c>
      <c r="E136"/>
      <c r="F136" t="s">
        <v>4</v>
      </c>
      <c r="G136"/>
      <c r="H136"/>
      <c r="I136"/>
      <c r="J136"/>
      <c r="K136" t="s">
        <v>66</v>
      </c>
      <c r="L136"/>
      <c r="M136" t="s">
        <v>612</v>
      </c>
      <c r="N136" s="1" t="s">
        <v>598</v>
      </c>
      <c r="O136" s="1" t="s">
        <v>613</v>
      </c>
      <c r="P136" s="3" t="s">
        <v>66</v>
      </c>
      <c r="Q136" s="3" t="s">
        <v>600</v>
      </c>
      <c r="R136" s="9" t="s">
        <v>53</v>
      </c>
      <c r="S136" s="9" t="s">
        <v>54</v>
      </c>
      <c r="T136" s="9" t="s">
        <v>53</v>
      </c>
      <c r="U136" s="9" t="s">
        <v>54</v>
      </c>
      <c r="V136" s="9" t="s">
        <v>53</v>
      </c>
      <c r="W136" s="9" t="s">
        <v>54</v>
      </c>
      <c r="X136" s="9" t="s">
        <v>54</v>
      </c>
      <c r="Y136" s="9" t="s">
        <v>53</v>
      </c>
      <c r="Z136" s="18" t="s">
        <v>53</v>
      </c>
      <c r="AA136" s="8" t="s">
        <v>91</v>
      </c>
      <c r="AB136">
        <f t="shared" si="12"/>
        <v>2</v>
      </c>
      <c r="AC136">
        <f t="shared" si="13"/>
        <v>1</v>
      </c>
      <c r="AD136">
        <f t="shared" si="14"/>
        <v>2</v>
      </c>
      <c r="AE136" t="s">
        <v>54</v>
      </c>
      <c r="AF136" t="s">
        <v>66</v>
      </c>
      <c r="AG136"/>
      <c r="AH136" t="s">
        <v>54</v>
      </c>
    </row>
    <row r="137" spans="1:34" x14ac:dyDescent="0.35">
      <c r="A137" t="s">
        <v>618</v>
      </c>
      <c r="B137" t="s">
        <v>619</v>
      </c>
      <c r="C137" s="17" t="s">
        <v>66</v>
      </c>
      <c r="D137">
        <v>2009</v>
      </c>
      <c r="F137" t="s">
        <v>12</v>
      </c>
      <c r="K137" t="s">
        <v>66</v>
      </c>
      <c r="M137" t="s">
        <v>620</v>
      </c>
      <c r="N137" t="s">
        <v>66</v>
      </c>
      <c r="O137" s="1" t="s">
        <v>621</v>
      </c>
      <c r="P137" s="3" t="s">
        <v>66</v>
      </c>
      <c r="Q137" s="3" t="s">
        <v>66</v>
      </c>
      <c r="R137" s="9" t="s">
        <v>54</v>
      </c>
      <c r="S137" s="9" t="s">
        <v>54</v>
      </c>
      <c r="T137" s="9" t="s">
        <v>54</v>
      </c>
      <c r="U137" s="9" t="s">
        <v>53</v>
      </c>
      <c r="V137" s="9" t="s">
        <v>54</v>
      </c>
      <c r="W137" s="9" t="s">
        <v>54</v>
      </c>
      <c r="X137" s="9" t="s">
        <v>53</v>
      </c>
      <c r="Y137" s="9" t="s">
        <v>54</v>
      </c>
      <c r="Z137" s="18" t="s">
        <v>54</v>
      </c>
      <c r="AA137" s="8" t="s">
        <v>97</v>
      </c>
      <c r="AB137">
        <f t="shared" si="12"/>
        <v>0</v>
      </c>
      <c r="AC137">
        <f t="shared" si="13"/>
        <v>1</v>
      </c>
      <c r="AD137">
        <f t="shared" si="14"/>
        <v>1</v>
      </c>
      <c r="AE137" t="s">
        <v>54</v>
      </c>
      <c r="AF137" t="s">
        <v>66</v>
      </c>
      <c r="AH137" t="s">
        <v>54</v>
      </c>
    </row>
    <row r="138" spans="1:34" x14ac:dyDescent="0.35">
      <c r="A138" t="s">
        <v>622</v>
      </c>
      <c r="B138" t="s">
        <v>623</v>
      </c>
      <c r="C138" s="17" t="s">
        <v>66</v>
      </c>
      <c r="D138">
        <v>2009</v>
      </c>
      <c r="F138" t="s">
        <v>12</v>
      </c>
      <c r="K138" t="s">
        <v>66</v>
      </c>
      <c r="M138" t="s">
        <v>624</v>
      </c>
      <c r="N138" t="s">
        <v>66</v>
      </c>
      <c r="O138" s="1" t="s">
        <v>625</v>
      </c>
      <c r="P138" s="3" t="s">
        <v>66</v>
      </c>
      <c r="Q138" s="3" t="s">
        <v>66</v>
      </c>
      <c r="R138" s="9" t="s">
        <v>54</v>
      </c>
      <c r="S138" s="9" t="s">
        <v>54</v>
      </c>
      <c r="T138" s="9" t="s">
        <v>54</v>
      </c>
      <c r="U138" s="9" t="s">
        <v>53</v>
      </c>
      <c r="V138" s="9" t="s">
        <v>54</v>
      </c>
      <c r="W138" s="9" t="s">
        <v>54</v>
      </c>
      <c r="X138" s="9" t="s">
        <v>53</v>
      </c>
      <c r="Y138" s="9" t="s">
        <v>54</v>
      </c>
      <c r="Z138" s="18" t="s">
        <v>54</v>
      </c>
      <c r="AA138" s="8" t="s">
        <v>91</v>
      </c>
      <c r="AB138">
        <f t="shared" si="12"/>
        <v>0</v>
      </c>
      <c r="AC138">
        <f t="shared" si="13"/>
        <v>1</v>
      </c>
      <c r="AD138">
        <f t="shared" si="14"/>
        <v>1</v>
      </c>
      <c r="AE138" t="s">
        <v>54</v>
      </c>
      <c r="AF138" t="s">
        <v>66</v>
      </c>
      <c r="AH138" t="s">
        <v>54</v>
      </c>
    </row>
    <row r="139" spans="1:34" x14ac:dyDescent="0.35">
      <c r="A139" t="s">
        <v>595</v>
      </c>
      <c r="B139" s="6" t="s">
        <v>596</v>
      </c>
      <c r="C139" s="17">
        <v>1.01</v>
      </c>
      <c r="D139">
        <v>2013</v>
      </c>
      <c r="F139" t="s">
        <v>3</v>
      </c>
      <c r="K139" t="s">
        <v>66</v>
      </c>
      <c r="M139" t="s">
        <v>597</v>
      </c>
      <c r="N139" s="1" t="s">
        <v>598</v>
      </c>
      <c r="O139" s="1" t="s">
        <v>599</v>
      </c>
      <c r="P139" s="3" t="s">
        <v>66</v>
      </c>
      <c r="Q139" s="3" t="s">
        <v>600</v>
      </c>
      <c r="R139" s="9" t="s">
        <v>53</v>
      </c>
      <c r="S139" s="9" t="s">
        <v>54</v>
      </c>
      <c r="T139" s="9" t="s">
        <v>54</v>
      </c>
      <c r="U139" s="9" t="s">
        <v>53</v>
      </c>
      <c r="V139" s="9" t="s">
        <v>53</v>
      </c>
      <c r="W139" s="9" t="s">
        <v>54</v>
      </c>
      <c r="X139" s="9" t="s">
        <v>54</v>
      </c>
      <c r="Y139" s="9" t="s">
        <v>53</v>
      </c>
      <c r="Z139" s="18" t="s">
        <v>54</v>
      </c>
      <c r="AA139" s="8" t="s">
        <v>97</v>
      </c>
      <c r="AB139">
        <f t="shared" si="12"/>
        <v>1</v>
      </c>
      <c r="AC139">
        <f t="shared" si="13"/>
        <v>2</v>
      </c>
      <c r="AD139">
        <f t="shared" si="14"/>
        <v>1</v>
      </c>
      <c r="AE139" t="s">
        <v>54</v>
      </c>
      <c r="AF139" t="s">
        <v>66</v>
      </c>
      <c r="AH139" t="s">
        <v>54</v>
      </c>
    </row>
    <row r="140" spans="1:34" s="25" customFormat="1" x14ac:dyDescent="0.35">
      <c r="A140" t="s">
        <v>614</v>
      </c>
      <c r="B140" s="6" t="s">
        <v>615</v>
      </c>
      <c r="C140" s="17">
        <v>1.03</v>
      </c>
      <c r="D140">
        <v>2013</v>
      </c>
      <c r="E140"/>
      <c r="F140" t="s">
        <v>18</v>
      </c>
      <c r="G140"/>
      <c r="H140"/>
      <c r="I140"/>
      <c r="J140"/>
      <c r="K140" t="s">
        <v>66</v>
      </c>
      <c r="L140"/>
      <c r="M140" t="s">
        <v>616</v>
      </c>
      <c r="N140" s="1" t="s">
        <v>598</v>
      </c>
      <c r="O140" s="1" t="s">
        <v>617</v>
      </c>
      <c r="P140" s="3" t="s">
        <v>66</v>
      </c>
      <c r="Q140" s="3" t="s">
        <v>600</v>
      </c>
      <c r="R140" s="9" t="s">
        <v>53</v>
      </c>
      <c r="S140" s="9" t="s">
        <v>54</v>
      </c>
      <c r="T140" s="9" t="s">
        <v>53</v>
      </c>
      <c r="U140" s="9" t="s">
        <v>54</v>
      </c>
      <c r="V140" s="9" t="s">
        <v>53</v>
      </c>
      <c r="W140" s="9" t="s">
        <v>54</v>
      </c>
      <c r="X140" s="9" t="s">
        <v>54</v>
      </c>
      <c r="Y140" s="9" t="s">
        <v>54</v>
      </c>
      <c r="Z140" s="18" t="s">
        <v>54</v>
      </c>
      <c r="AA140" s="8" t="s">
        <v>91</v>
      </c>
      <c r="AB140">
        <f t="shared" si="12"/>
        <v>2</v>
      </c>
      <c r="AC140">
        <f t="shared" si="13"/>
        <v>1</v>
      </c>
      <c r="AD140">
        <f t="shared" si="14"/>
        <v>0</v>
      </c>
      <c r="AE140" t="s">
        <v>54</v>
      </c>
      <c r="AF140" t="s">
        <v>66</v>
      </c>
      <c r="AG140"/>
      <c r="AH140" t="s">
        <v>54</v>
      </c>
    </row>
    <row r="141" spans="1:34" x14ac:dyDescent="0.35">
      <c r="A141" t="s">
        <v>903</v>
      </c>
      <c r="B141" t="s">
        <v>899</v>
      </c>
      <c r="C141" s="26" t="s">
        <v>318</v>
      </c>
      <c r="D141">
        <v>2025</v>
      </c>
      <c r="F141" t="s">
        <v>14</v>
      </c>
      <c r="K141" t="s">
        <v>184</v>
      </c>
      <c r="M141" t="s">
        <v>900</v>
      </c>
      <c r="N141" s="1" t="s">
        <v>901</v>
      </c>
      <c r="O141" s="1" t="s">
        <v>902</v>
      </c>
      <c r="P141" s="3" t="s">
        <v>66</v>
      </c>
      <c r="Q141" s="3" t="s">
        <v>727</v>
      </c>
      <c r="R141" s="9" t="s">
        <v>53</v>
      </c>
      <c r="S141" s="9" t="s">
        <v>54</v>
      </c>
      <c r="T141" s="9" t="s">
        <v>54</v>
      </c>
      <c r="U141" s="9" t="s">
        <v>53</v>
      </c>
      <c r="V141" s="9" t="s">
        <v>53</v>
      </c>
      <c r="W141" s="9" t="s">
        <v>53</v>
      </c>
      <c r="X141" s="9" t="s">
        <v>53</v>
      </c>
      <c r="Y141" s="9" t="s">
        <v>53</v>
      </c>
      <c r="Z141" s="18" t="s">
        <v>54</v>
      </c>
      <c r="AA141" s="8"/>
      <c r="AB141">
        <f t="shared" ref="AB141:AB143" si="15">COUNTIF(R141:T141, "yes")</f>
        <v>1</v>
      </c>
      <c r="AC141">
        <f t="shared" ref="AC141:AC143" si="16">COUNTIF(U141:W141, "yes")</f>
        <v>3</v>
      </c>
      <c r="AD141">
        <f t="shared" ref="AD141:AD143" si="17">COUNTIF(X141:Z141, "yes")</f>
        <v>2</v>
      </c>
      <c r="AE141" t="s">
        <v>54</v>
      </c>
      <c r="AF141" t="s">
        <v>66</v>
      </c>
      <c r="AH141" t="s">
        <v>54</v>
      </c>
    </row>
    <row r="142" spans="1:34" x14ac:dyDescent="0.35">
      <c r="A142" t="s">
        <v>905</v>
      </c>
      <c r="B142" t="s">
        <v>904</v>
      </c>
      <c r="C142" s="17" t="s">
        <v>311</v>
      </c>
      <c r="D142">
        <v>2025</v>
      </c>
      <c r="F142" t="s">
        <v>828</v>
      </c>
      <c r="K142" t="s">
        <v>325</v>
      </c>
      <c r="M142" t="s">
        <v>906</v>
      </c>
      <c r="N142" s="1" t="s">
        <v>918</v>
      </c>
      <c r="O142" t="s">
        <v>907</v>
      </c>
      <c r="P142" s="3" t="s">
        <v>908</v>
      </c>
      <c r="Q142" s="3" t="s">
        <v>909</v>
      </c>
      <c r="R142" s="9" t="s">
        <v>53</v>
      </c>
      <c r="S142" s="9" t="s">
        <v>53</v>
      </c>
      <c r="T142" s="9" t="s">
        <v>53</v>
      </c>
      <c r="U142" s="9" t="s">
        <v>53</v>
      </c>
      <c r="V142" s="9" t="s">
        <v>53</v>
      </c>
      <c r="W142" s="9" t="s">
        <v>53</v>
      </c>
      <c r="X142" s="9" t="s">
        <v>53</v>
      </c>
      <c r="Y142" s="9" t="s">
        <v>53</v>
      </c>
      <c r="Z142" s="18" t="s">
        <v>54</v>
      </c>
      <c r="AA142" s="8"/>
      <c r="AB142">
        <f t="shared" si="15"/>
        <v>3</v>
      </c>
      <c r="AC142">
        <f t="shared" si="16"/>
        <v>3</v>
      </c>
      <c r="AD142">
        <f t="shared" si="17"/>
        <v>2</v>
      </c>
      <c r="AE142" t="s">
        <v>54</v>
      </c>
      <c r="AF142" t="s">
        <v>66</v>
      </c>
      <c r="AH142" t="s">
        <v>54</v>
      </c>
    </row>
    <row r="143" spans="1:34" x14ac:dyDescent="0.35">
      <c r="A143" t="s">
        <v>910</v>
      </c>
      <c r="B143" t="s">
        <v>911</v>
      </c>
      <c r="C143" s="26" t="s">
        <v>116</v>
      </c>
      <c r="D143">
        <v>2024</v>
      </c>
      <c r="F143" t="s">
        <v>15</v>
      </c>
      <c r="G143" t="s">
        <v>828</v>
      </c>
      <c r="K143" t="s">
        <v>60</v>
      </c>
      <c r="M143" t="s">
        <v>916</v>
      </c>
      <c r="N143" s="1" t="s">
        <v>917</v>
      </c>
      <c r="O143" s="1" t="s">
        <v>920</v>
      </c>
      <c r="P143" s="3" t="s">
        <v>923</v>
      </c>
      <c r="Q143" s="3" t="s">
        <v>727</v>
      </c>
      <c r="R143" s="9" t="s">
        <v>53</v>
      </c>
      <c r="S143" s="9" t="s">
        <v>53</v>
      </c>
      <c r="T143" s="9" t="s">
        <v>54</v>
      </c>
      <c r="U143" s="9" t="s">
        <v>53</v>
      </c>
      <c r="V143" s="9" t="s">
        <v>53</v>
      </c>
      <c r="W143" s="9" t="s">
        <v>53</v>
      </c>
      <c r="X143" s="9" t="s">
        <v>53</v>
      </c>
      <c r="Y143" s="9" t="s">
        <v>53</v>
      </c>
      <c r="Z143" s="18" t="s">
        <v>54</v>
      </c>
      <c r="AA143" s="8"/>
      <c r="AB143">
        <f t="shared" si="15"/>
        <v>2</v>
      </c>
      <c r="AC143">
        <f t="shared" si="16"/>
        <v>3</v>
      </c>
      <c r="AD143">
        <f t="shared" si="17"/>
        <v>2</v>
      </c>
      <c r="AE143" t="s">
        <v>54</v>
      </c>
      <c r="AF143" t="s">
        <v>66</v>
      </c>
      <c r="AH143" t="s">
        <v>54</v>
      </c>
    </row>
    <row r="144" spans="1:34" x14ac:dyDescent="0.35">
      <c r="A144" t="s">
        <v>913</v>
      </c>
      <c r="B144" t="s">
        <v>912</v>
      </c>
      <c r="C144" s="26" t="s">
        <v>116</v>
      </c>
      <c r="D144">
        <v>2024</v>
      </c>
      <c r="F144" t="s">
        <v>0</v>
      </c>
      <c r="G144" t="s">
        <v>1</v>
      </c>
      <c r="K144" t="s">
        <v>60</v>
      </c>
      <c r="M144" t="s">
        <v>915</v>
      </c>
      <c r="N144" s="1" t="s">
        <v>914</v>
      </c>
      <c r="O144" s="1" t="s">
        <v>919</v>
      </c>
      <c r="P144" s="3" t="s">
        <v>921</v>
      </c>
      <c r="Q144" s="3" t="s">
        <v>922</v>
      </c>
      <c r="R144" s="9" t="s">
        <v>53</v>
      </c>
      <c r="S144" s="9" t="s">
        <v>53</v>
      </c>
      <c r="T144" s="9" t="s">
        <v>53</v>
      </c>
      <c r="U144" s="9" t="s">
        <v>53</v>
      </c>
      <c r="V144" s="9" t="s">
        <v>53</v>
      </c>
      <c r="W144" s="9" t="s">
        <v>53</v>
      </c>
      <c r="X144" s="9" t="s">
        <v>53</v>
      </c>
      <c r="Y144" s="9" t="s">
        <v>53</v>
      </c>
      <c r="Z144" s="18" t="s">
        <v>53</v>
      </c>
      <c r="AA144" s="8"/>
      <c r="AB144">
        <f>COUNTIF(R144:T144, "yes")</f>
        <v>3</v>
      </c>
      <c r="AC144">
        <f>COUNTIF(U144:W144, "yes")</f>
        <v>3</v>
      </c>
      <c r="AD144">
        <f>COUNTIF(X144:Z144, "yes")</f>
        <v>3</v>
      </c>
      <c r="AE144" t="s">
        <v>54</v>
      </c>
      <c r="AF144" t="s">
        <v>66</v>
      </c>
      <c r="AH144" t="s">
        <v>54</v>
      </c>
    </row>
    <row r="145" spans="1:34" x14ac:dyDescent="0.35">
      <c r="A145" t="s">
        <v>938</v>
      </c>
      <c r="B145" s="34" t="s">
        <v>939</v>
      </c>
      <c r="C145" s="35">
        <v>1</v>
      </c>
      <c r="D145">
        <v>2025</v>
      </c>
      <c r="F145" t="s">
        <v>13</v>
      </c>
      <c r="K145" t="s">
        <v>184</v>
      </c>
      <c r="M145" t="s">
        <v>940</v>
      </c>
      <c r="N145" s="30" t="s">
        <v>944</v>
      </c>
      <c r="O145" s="30" t="s">
        <v>941</v>
      </c>
      <c r="P145" s="21" t="s">
        <v>942</v>
      </c>
      <c r="Q145" s="3" t="s">
        <v>943</v>
      </c>
      <c r="R145" s="9" t="s">
        <v>53</v>
      </c>
      <c r="S145" s="9" t="s">
        <v>53</v>
      </c>
      <c r="T145" s="9" t="s">
        <v>53</v>
      </c>
      <c r="U145" s="9" t="s">
        <v>53</v>
      </c>
      <c r="V145" s="9" t="s">
        <v>53</v>
      </c>
      <c r="W145" s="9" t="s">
        <v>53</v>
      </c>
      <c r="X145" s="9" t="s">
        <v>53</v>
      </c>
      <c r="Y145" s="9" t="s">
        <v>53</v>
      </c>
      <c r="Z145" s="18" t="s">
        <v>53</v>
      </c>
      <c r="AA145" s="8"/>
      <c r="AB145">
        <f>COUNTIF(R145:T145, "yes")</f>
        <v>3</v>
      </c>
      <c r="AC145">
        <f>COUNTIF(U145:W145, "yes")</f>
        <v>3</v>
      </c>
      <c r="AD145">
        <f>COUNTIF(X145:Z145, "yes")</f>
        <v>3</v>
      </c>
      <c r="AE145" t="s">
        <v>54</v>
      </c>
      <c r="AF145" t="s">
        <v>66</v>
      </c>
      <c r="AH145" t="s">
        <v>54</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92" r:id="rId161" xr:uid="{039752D6-A57E-42F7-BA40-8C6F6916F6AB}"/>
    <hyperlink ref="O13" r:id="rId162" xr:uid="{A90D194B-4E3C-444A-836D-6B5DB5BE736F}"/>
    <hyperlink ref="O93" r:id="rId163" xr:uid="{43676EE7-6CC7-4535-89EF-4313B121B397}"/>
    <hyperlink ref="O14" r:id="rId164" xr:uid="{60E836C5-06DB-4B9A-BB8B-F3EA2AB8908E}"/>
    <hyperlink ref="O95" r:id="rId165" xr:uid="{48445DE7-4124-459A-89FE-A5785E8E6D21}"/>
    <hyperlink ref="O96" r:id="rId166" xr:uid="{92547D63-9E10-4C2A-B940-F80F86C31D6C}"/>
    <hyperlink ref="O15" r:id="rId167" xr:uid="{07239EE8-B9CC-484E-8B7D-D4422BB013EF}"/>
    <hyperlink ref="O98" r:id="rId168" xr:uid="{38AD3B56-8CE4-4A88-8E60-759B3016A491}"/>
    <hyperlink ref="O103" r:id="rId169" xr:uid="{86F4132D-8166-41D6-939D-D1945683D6A9}"/>
    <hyperlink ref="O101" r:id="rId170" xr:uid="{66A7EF04-2FDB-4C3B-975E-7D3C74F244A9}"/>
    <hyperlink ref="O105" r:id="rId171" xr:uid="{BA6720FD-FEE7-4DB0-A843-2EA5626483C1}"/>
    <hyperlink ref="O90" r:id="rId172" xr:uid="{E146E9FE-BFFA-4CC4-B47B-1EA975C335A4}"/>
    <hyperlink ref="O17" r:id="rId173" xr:uid="{DEA61234-433D-41CE-982A-5C458C6C9CE7}"/>
    <hyperlink ref="O106" r:id="rId174" xr:uid="{A3C3D363-450B-47FC-85E0-69B19823C28F}"/>
    <hyperlink ref="O18" r:id="rId175" xr:uid="{B8F617E8-3043-49ED-A585-92DB248768F3}"/>
    <hyperlink ref="O118" r:id="rId176" xr:uid="{D23D7F1D-2BBE-49F6-AC74-60F99A2EA57A}"/>
    <hyperlink ref="O125" r:id="rId177" xr:uid="{EBD0BDC5-4ED9-4F5F-BF58-85383C670443}"/>
    <hyperlink ref="O121" r:id="rId178" xr:uid="{A5B805CB-CAD5-41FA-9EBA-D9642CBFE26D}"/>
    <hyperlink ref="O122" r:id="rId179" xr:uid="{19A859D1-052B-4DAB-B7CC-0A6AC9D8F7F2}"/>
    <hyperlink ref="O126" r:id="rId180" xr:uid="{5C25EA57-1862-4EB2-B42F-C38878D6FDBB}"/>
    <hyperlink ref="O127" r:id="rId181" xr:uid="{137F4CB3-5E96-4F0B-9112-FB0E767219A3}"/>
    <hyperlink ref="O128" r:id="rId182" xr:uid="{381C9CC3-D7F0-4DA5-B89C-D32C1EFFAE7F}"/>
    <hyperlink ref="O129" r:id="rId183" xr:uid="{442FADE2-705E-4347-9E1B-6BE95B74C7E9}"/>
    <hyperlink ref="O119" r:id="rId184" xr:uid="{05D0A8E5-D137-468D-956A-C6A0EC0AF994}"/>
    <hyperlink ref="O31" r:id="rId185" xr:uid="{620792CE-5A18-431A-8E73-2089AAC2983A}"/>
    <hyperlink ref="N3" r:id="rId186" xr:uid="{18B11FEB-46B8-4F25-B7A7-43D0660773AF}"/>
    <hyperlink ref="O3" r:id="rId187" xr:uid="{DF8AF1A2-5F3B-473B-B683-E72393CE6C51}"/>
    <hyperlink ref="O26" r:id="rId188" xr:uid="{126CAD1B-6FF2-4635-9D25-3F3F7D9670EA}"/>
    <hyperlink ref="N83" r:id="rId189" xr:uid="{489CA57F-DCF3-41DA-8898-872148FB6F5F}"/>
    <hyperlink ref="O83" r:id="rId190" xr:uid="{9654F2F7-1E02-4E09-A37F-80D575E0BA5D}"/>
    <hyperlink ref="N135" r:id="rId191" xr:uid="{379242D3-4097-44A4-BCAA-022CAB27D0A6}"/>
    <hyperlink ref="O135" r:id="rId192" xr:uid="{C4642B4A-6CA6-4B1B-AEA7-F282A7BA1125}"/>
    <hyperlink ref="N104" r:id="rId193" xr:uid="{E7B471DC-8260-46D5-8219-67CCDE010FF7}"/>
    <hyperlink ref="O104" r:id="rId194" xr:uid="{E3CDA6E1-5BA4-46F2-A80F-5C15D83C0303}"/>
    <hyperlink ref="N73" r:id="rId195" location=" " xr:uid="{59759E3E-3E56-4248-9A1D-100570F87189}"/>
    <hyperlink ref="N74" r:id="rId196" xr:uid="{3EE4CC13-C8A8-4DC2-8307-EE051275073A}"/>
    <hyperlink ref="O74" r:id="rId197" display="https://standards.cencenelec.eu/dyn/www/f?p=CEN:110:0::::FSP_PROJECT,FSP_ORG_ID:67839,1991542&amp;cs=1BCE2DE4154949B53FB406C2D4EE5011D " xr:uid="{817CC67B-E10C-486B-B840-1A90AC8F8001}"/>
    <hyperlink ref="O73" r:id="rId198" display="https://standards.cencenelec.eu/dyn/www/f?p=CEN:110:0::::FSP_PROJECT,FSP_ORG_ID:67839,1991542&amp;cs=1BCE2DE4154949B53FB406C2D4EE5011D " xr:uid="{9872E0DC-DD1A-4F7D-990B-D11F499DF594}"/>
    <hyperlink ref="N100" r:id="rId199" xr:uid="{C59116B7-9A37-45AD-944D-31FBA0AB37FA}"/>
    <hyperlink ref="N99" r:id="rId200" xr:uid="{B3CB67E7-9836-4B7C-A6F0-C8CB27F2953C}"/>
    <hyperlink ref="O100" r:id="rId201" xr:uid="{34F30490-219E-4B7D-A1EC-0B260FE981E2}"/>
    <hyperlink ref="O99" r:id="rId202" xr:uid="{41BD3A7F-AFCD-4935-8926-4154FF4269C0}"/>
    <hyperlink ref="N42" r:id="rId203" xr:uid="{255E7D4D-6124-4B25-BBDC-95ECD936A489}"/>
    <hyperlink ref="O44" r:id="rId204" xr:uid="{B14227AF-54CC-4C9C-B4D0-136F1D70BCA7}"/>
    <hyperlink ref="O30" r:id="rId205" xr:uid="{1434D078-B9AA-47C8-82EB-C4A9A03293DC}"/>
    <hyperlink ref="O108" r:id="rId206" display="https://lov.linkeddata.es/dataset/lov/vocabs/jup/versions/2016-07-14.n3" xr:uid="{8F6CA822-1BD4-4EE0-B1E1-9F4149E95A51}"/>
    <hyperlink ref="N108" r:id="rId207" xr:uid="{6C55BAE3-AC52-4A54-ADFB-4C03AECDF46E}"/>
    <hyperlink ref="O70" r:id="rId208" xr:uid="{C4B9ED1E-BBE3-49BD-842E-4772F661899A}"/>
    <hyperlink ref="N70" r:id="rId209" xr:uid="{8E2664D8-B1A3-4730-A93D-55B9FD57EEDA}"/>
    <hyperlink ref="N84" r:id="rId210" xr:uid="{08C5E487-88FE-4DF1-B467-1395F7A4BC9B}"/>
    <hyperlink ref="N46" r:id="rId211" xr:uid="{65D5C98C-7FB5-4D0C-9129-AC9BA38E326C}"/>
    <hyperlink ref="O84" r:id="rId212" xr:uid="{71DF83D9-A3F2-4617-81EC-6509843A9ECB}"/>
    <hyperlink ref="N43" r:id="rId213" xr:uid="{49173063-ADBB-4AF0-8A41-43F101EE5D98}"/>
    <hyperlink ref="O46" r:id="rId214" xr:uid="{C86B7AA1-7720-453B-96B5-40E5111F1D5E}"/>
    <hyperlink ref="O43" r:id="rId215" xr:uid="{47DAFF98-112D-4BFE-94B5-9B24AD785751}"/>
    <hyperlink ref="O48" r:id="rId216" xr:uid="{522AA585-6EDD-4DCB-9E01-8F5F0E73DE41}"/>
    <hyperlink ref="N48" r:id="rId217" xr:uid="{6D639257-A493-4310-B78E-4BA9F050859C}"/>
    <hyperlink ref="N111" r:id="rId218" xr:uid="{4B8F988B-83C8-49C2-8219-51C094F40A60}"/>
    <hyperlink ref="O111" r:id="rId219" xr:uid="{7A03C06B-D9CF-477A-9D1E-259582B74BF4}"/>
    <hyperlink ref="O87" r:id="rId220" xr:uid="{E087CEFA-3678-4500-9D1B-55CF085965DE}"/>
    <hyperlink ref="O86" r:id="rId221" xr:uid="{A1442788-16F5-4178-B392-1B700DEF638B}"/>
    <hyperlink ref="O53" r:id="rId222" xr:uid="{2A27FCF3-313D-42DA-A837-C791ED670B49}"/>
    <hyperlink ref="N124" r:id="rId223" xr:uid="{2BC9F386-788E-4C18-BDCF-75459CA653C0}"/>
    <hyperlink ref="O124" r:id="rId224" xr:uid="{05BEBE7E-E8D6-422A-8AA4-CC58C2AF732F}"/>
    <hyperlink ref="N117" r:id="rId225" xr:uid="{CD9528AE-555C-40BA-83B2-4E0332AF6CBF}"/>
    <hyperlink ref="O117" r:id="rId226" xr:uid="{2F5723C5-E134-4E8F-80CD-53C0B091B446}"/>
    <hyperlink ref="N120" r:id="rId227" xr:uid="{F4F5FCC7-62FC-4E9B-86B0-E57E517947CD}"/>
    <hyperlink ref="O120" r:id="rId228" xr:uid="{40DD2012-78E9-4A7C-AF57-D63B5446252D}"/>
    <hyperlink ref="N123" r:id="rId229" xr:uid="{2D7B95A9-8090-46E9-883B-982469E636D3}"/>
    <hyperlink ref="O123" r:id="rId230" xr:uid="{63381EF1-2ADD-4F5E-9521-90EAF42FED35}"/>
    <hyperlink ref="N130" r:id="rId231" xr:uid="{CF1F8098-F930-45E0-80E5-4564F180CF5A}"/>
    <hyperlink ref="O130" r:id="rId232" xr:uid="{85C86255-2EFE-412B-8C7A-5093F2959238}"/>
    <hyperlink ref="O82" r:id="rId233" xr:uid="{F40C8C8B-C3B0-4FA4-825C-82BC99AA456D}"/>
    <hyperlink ref="N141" r:id="rId234" xr:uid="{7ADFBE34-97FF-4F43-908A-001BF3B2781E}"/>
    <hyperlink ref="O141" r:id="rId235" xr:uid="{94710006-BA26-43E2-A645-55FCE25D4FB9}"/>
    <hyperlink ref="N142" r:id="rId236" xr:uid="{6B27BBF5-6A3F-464E-884F-09439291A1D8}"/>
    <hyperlink ref="N144" r:id="rId237" display="https://w3id.org/hmo" xr:uid="{7F86E95E-8F78-4306-BDB5-E42739A9F497}"/>
    <hyperlink ref="N143" r:id="rId238" xr:uid="{D1049976-4189-4098-8B7A-A4FBB294F09E}"/>
    <hyperlink ref="O144" r:id="rId239" xr:uid="{30C86014-BA17-46D9-869F-D0EB293E3CC6}"/>
    <hyperlink ref="O143" r:id="rId240" xr:uid="{707EF97C-857E-4A6D-8457-A87CEB3939FC}"/>
    <hyperlink ref="O89" r:id="rId241" display="https://technical.buildingsmart.org/standards/ifc/ifc-formats/ifcowl/" xr:uid="{8F4EF2FE-8372-4FD0-B21B-0C73B90F723E}"/>
    <hyperlink ref="N145" r:id="rId242" xr:uid="{E8197203-BF8A-4091-AED5-ED5E794B12A6}"/>
    <hyperlink ref="O145" r:id="rId243" xr:uid="{4616C43F-48C0-4053-9CA5-9473C8807EDC}"/>
  </hyperlinks>
  <pageMargins left="0.7" right="0.7" top="0.75" bottom="0.75" header="0.3" footer="0.3"/>
  <pageSetup paperSize="9" orientation="portrait" r:id="rId244"/>
  <legacyDrawing r:id="rId245"/>
  <tableParts count="1">
    <tablePart r:id="rId246"/>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workbookViewId="0">
      <selection activeCell="A11" sqref="A11"/>
    </sheetView>
  </sheetViews>
  <sheetFormatPr defaultRowHeight="14.5" x14ac:dyDescent="0.35"/>
  <cols>
    <col min="1" max="1" width="39.26953125" bestFit="1" customWidth="1"/>
  </cols>
  <sheetData>
    <row r="1" spans="1:1" x14ac:dyDescent="0.35">
      <c r="A1" s="24" t="s">
        <v>825</v>
      </c>
    </row>
    <row r="2" spans="1:1" x14ac:dyDescent="0.35">
      <c r="A2" t="s">
        <v>826</v>
      </c>
    </row>
    <row r="3" spans="1:1" x14ac:dyDescent="0.35">
      <c r="A3" t="s">
        <v>319</v>
      </c>
    </row>
    <row r="4" spans="1:1" x14ac:dyDescent="0.35">
      <c r="A4" t="s">
        <v>0</v>
      </c>
    </row>
    <row r="5" spans="1:1" x14ac:dyDescent="0.35">
      <c r="A5" t="s">
        <v>1</v>
      </c>
    </row>
    <row r="6" spans="1:1" x14ac:dyDescent="0.35">
      <c r="A6" t="s">
        <v>2</v>
      </c>
    </row>
    <row r="7" spans="1:1" x14ac:dyDescent="0.35">
      <c r="A7" t="s">
        <v>3</v>
      </c>
    </row>
    <row r="8" spans="1:1" x14ac:dyDescent="0.35">
      <c r="A8" t="s">
        <v>641</v>
      </c>
    </row>
    <row r="9" spans="1:1" x14ac:dyDescent="0.35">
      <c r="A9" t="s">
        <v>4</v>
      </c>
    </row>
    <row r="10" spans="1:1" x14ac:dyDescent="0.35">
      <c r="A10" t="s">
        <v>5</v>
      </c>
    </row>
    <row r="11" spans="1:1" x14ac:dyDescent="0.35">
      <c r="A11" t="s">
        <v>6</v>
      </c>
    </row>
    <row r="12" spans="1:1" x14ac:dyDescent="0.35">
      <c r="A12" t="s">
        <v>7</v>
      </c>
    </row>
    <row r="13" spans="1:1" x14ac:dyDescent="0.35">
      <c r="A13" t="s">
        <v>8</v>
      </c>
    </row>
    <row r="14" spans="1:1" x14ac:dyDescent="0.35">
      <c r="A14" t="s">
        <v>10</v>
      </c>
    </row>
    <row r="15" spans="1:1" x14ac:dyDescent="0.35">
      <c r="A15" s="6" t="s">
        <v>833</v>
      </c>
    </row>
    <row r="16" spans="1:1" x14ac:dyDescent="0.35">
      <c r="A16" t="s">
        <v>521</v>
      </c>
    </row>
    <row r="17" spans="1:1" x14ac:dyDescent="0.35">
      <c r="A17" s="6" t="s">
        <v>830</v>
      </c>
    </row>
    <row r="18" spans="1:1" x14ac:dyDescent="0.35">
      <c r="A18" t="s">
        <v>11</v>
      </c>
    </row>
    <row r="19" spans="1:1" x14ac:dyDescent="0.35">
      <c r="A19" t="s">
        <v>827</v>
      </c>
    </row>
    <row r="20" spans="1:1" x14ac:dyDescent="0.35">
      <c r="A20" t="s">
        <v>13</v>
      </c>
    </row>
    <row r="21" spans="1:1" x14ac:dyDescent="0.35">
      <c r="A21" t="s">
        <v>14</v>
      </c>
    </row>
    <row r="22" spans="1:1" x14ac:dyDescent="0.35">
      <c r="A22" t="s">
        <v>15</v>
      </c>
    </row>
    <row r="23" spans="1:1" x14ac:dyDescent="0.35">
      <c r="A23" t="s">
        <v>831</v>
      </c>
    </row>
    <row r="24" spans="1:1" x14ac:dyDescent="0.35">
      <c r="A24" t="s">
        <v>16</v>
      </c>
    </row>
    <row r="25" spans="1:1" x14ac:dyDescent="0.35">
      <c r="A25" t="s">
        <v>17</v>
      </c>
    </row>
    <row r="26" spans="1:1" x14ac:dyDescent="0.35">
      <c r="A26" s="6" t="s">
        <v>828</v>
      </c>
    </row>
    <row r="27" spans="1:1" x14ac:dyDescent="0.35">
      <c r="A27" s="6" t="s">
        <v>535</v>
      </c>
    </row>
    <row r="28" spans="1:1" x14ac:dyDescent="0.3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3.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Iryna Osadcha</cp:lastModifiedBy>
  <cp:revision/>
  <dcterms:created xsi:type="dcterms:W3CDTF">2015-06-05T18:17:20Z</dcterms:created>
  <dcterms:modified xsi:type="dcterms:W3CDTF">2026-01-15T12:05:46Z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